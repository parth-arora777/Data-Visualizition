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svg" ContentType="image/svg+xml"/>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ink/ink1.xml" ContentType="application/inkml+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drawings/drawing2.xml" ContentType="application/vnd.openxmlformats-officedocument.drawing+xml"/>
  <Override PartName="/xl/ink/ink2.xml" ContentType="application/inkml+xml"/>
  <Override PartName="/xl/drawings/drawing3.xml" ContentType="application/vnd.openxmlformats-officedocument.drawing+xml"/>
  <Override PartName="/xl/slicers/slicer1.xml" ContentType="application/vnd.ms-excel.slicer+xml"/>
  <Override PartName="/xl/charts/chart1.xml" ContentType="application/vnd.openxmlformats-officedocument.drawingml.chart+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charts/chartEx1.xml" ContentType="application/vnd.ms-office.chartex+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iagrams/data1.xml" ContentType="application/vnd.openxmlformats-officedocument.drawingml.diagramData+xml"/>
  <Override PartName="/xl/diagrams/layout1.xml" ContentType="application/vnd.openxmlformats-officedocument.drawingml.diagramLayout+xml"/>
  <Override PartName="/xl/diagrams/quickStyle1.xml" ContentType="application/vnd.openxmlformats-officedocument.drawingml.diagramStyle+xml"/>
  <Override PartName="/xl/diagrams/colors1.xml" ContentType="application/vnd.openxmlformats-officedocument.drawingml.diagramColors+xml"/>
  <Override PartName="/xl/diagrams/drawing1.xml" ContentType="application/vnd.ms-office.drawingml.diagramDrawing+xml"/>
  <Override PartName="/xl/persons/person.xml" ContentType="application/vnd.ms-excel.person+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025"/>
  <workbookPr codeName="ThisWorkbook" defaultThemeVersion="166925"/>
  <mc:AlternateContent xmlns:mc="http://schemas.openxmlformats.org/markup-compatibility/2006">
    <mc:Choice Requires="x15">
      <x15ac:absPath xmlns:x15ac="http://schemas.microsoft.com/office/spreadsheetml/2010/11/ac" url="C:\Users\parth\OneDrive\Desktop\Projects\"/>
    </mc:Choice>
  </mc:AlternateContent>
  <xr:revisionPtr revIDLastSave="0" documentId="8_{A9E8B4DA-BAFF-4561-9A74-6875B16A5510}" xr6:coauthVersionLast="47" xr6:coauthVersionMax="47" xr10:uidLastSave="{00000000-0000-0000-0000-000000000000}"/>
  <workbookProtection workbookAlgorithmName="SHA-512" workbookHashValue="aK5Gg2lDM9ZxDUn1DoDe9zaK2UD6CFUXYZUznNjY42b6hYLpeZQeyBb1xv1v5XKxzGyqHRkh2nSbGAoOztG+fw==" workbookSaltValue="hAWYCzbBmQANrv7OKiO3UA==" workbookSpinCount="100000" lockStructure="1"/>
  <bookViews>
    <workbookView xWindow="-110" yWindow="-110" windowWidth="19420" windowHeight="11500" activeTab="2" xr2:uid="{0E796DA8-1BC4-40CC-A6A9-559C8EF18A86}"/>
  </bookViews>
  <sheets>
    <sheet name="Raw Data" sheetId="1" r:id="rId1"/>
    <sheet name="Final Data" sheetId="2" r:id="rId2"/>
    <sheet name="pivot tables" sheetId="3" r:id="rId3"/>
    <sheet name="Dashboard" sheetId="4" r:id="rId4"/>
  </sheets>
  <definedNames>
    <definedName name="_xlchart.v1.0" hidden="1">'pivot tables'!$O$4:$O$9</definedName>
    <definedName name="_xlchart.v1.1" hidden="1">'pivot tables'!$R$4:$R$9</definedName>
    <definedName name="Slicer_Continent">#N/A</definedName>
  </definedNames>
  <calcPr calcId="191029"/>
  <pivotCaches>
    <pivotCache cacheId="0" r:id="rId5"/>
  </pivotCaches>
  <extLst>
    <ext xmlns:x14="http://schemas.microsoft.com/office/spreadsheetml/2009/9/main" uri="{BBE1A952-AA13-448e-AADC-164F8A28A991}">
      <x14:slicerCaches>
        <x14:slicerCache r:id="rId6"/>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V6" i="3" l="1"/>
  <c r="V7" i="3"/>
  <c r="V8" i="3"/>
  <c r="V9" i="3"/>
  <c r="V5" i="3"/>
  <c r="V4" i="3"/>
  <c r="R5" i="3"/>
  <c r="C16" i="3"/>
  <c r="W7" i="3"/>
  <c r="S8" i="3"/>
  <c r="R4" i="3"/>
  <c r="S4" i="3"/>
  <c r="W5" i="3"/>
  <c r="W9" i="3"/>
  <c r="R8" i="3"/>
  <c r="S6" i="3"/>
  <c r="S9" i="3"/>
  <c r="M13" i="3"/>
  <c r="W4" i="3"/>
  <c r="U12" i="3"/>
  <c r="Q12" i="3"/>
  <c r="R7" i="3"/>
  <c r="R9" i="3"/>
  <c r="W6" i="3"/>
  <c r="S5" i="3"/>
  <c r="W8" i="3"/>
  <c r="S7" i="3"/>
  <c r="R6" i="3"/>
</calcChain>
</file>

<file path=xl/sharedStrings.xml><?xml version="1.0" encoding="utf-8"?>
<sst xmlns="http://schemas.openxmlformats.org/spreadsheetml/2006/main" count="2014" uniqueCount="736">
  <si>
    <t>Rank</t>
  </si>
  <si>
    <t>CCA3</t>
  </si>
  <si>
    <t>Country/Territory</t>
  </si>
  <si>
    <t>Capital</t>
  </si>
  <si>
    <t>Continent</t>
  </si>
  <si>
    <t>2022 Population</t>
  </si>
  <si>
    <t>2020 Population</t>
  </si>
  <si>
    <t>2015 Population</t>
  </si>
  <si>
    <t>2010 Population</t>
  </si>
  <si>
    <t>2000 Population</t>
  </si>
  <si>
    <t>1990 Population</t>
  </si>
  <si>
    <t>1980 Population</t>
  </si>
  <si>
    <t>1970 Population</t>
  </si>
  <si>
    <t>Area (kmÂ²)</t>
  </si>
  <si>
    <t>Density (per kmÂ²)</t>
  </si>
  <si>
    <t>Growth Rate</t>
  </si>
  <si>
    <t>World Population Percentage</t>
  </si>
  <si>
    <t>AFG</t>
  </si>
  <si>
    <t>Afghanistan</t>
  </si>
  <si>
    <t>Kabul</t>
  </si>
  <si>
    <t>Asia</t>
  </si>
  <si>
    <t>ALB</t>
  </si>
  <si>
    <t>Albania</t>
  </si>
  <si>
    <t>Tirana</t>
  </si>
  <si>
    <t>Europe</t>
  </si>
  <si>
    <t>DZA</t>
  </si>
  <si>
    <t>Algeria</t>
  </si>
  <si>
    <t>Algiers</t>
  </si>
  <si>
    <t>Africa</t>
  </si>
  <si>
    <t>ASM</t>
  </si>
  <si>
    <t>American Samoa</t>
  </si>
  <si>
    <t>Pago Pago</t>
  </si>
  <si>
    <t>Oceania</t>
  </si>
  <si>
    <t>AND</t>
  </si>
  <si>
    <t>Andorra</t>
  </si>
  <si>
    <t>Andorra la Vella</t>
  </si>
  <si>
    <t>AGO</t>
  </si>
  <si>
    <t>Angola</t>
  </si>
  <si>
    <t>Luanda</t>
  </si>
  <si>
    <t>AIA</t>
  </si>
  <si>
    <t>Anguilla</t>
  </si>
  <si>
    <t>The Valley</t>
  </si>
  <si>
    <t>North America</t>
  </si>
  <si>
    <t>ATG</t>
  </si>
  <si>
    <t>Antigua and Barbuda</t>
  </si>
  <si>
    <t>Saint Johnâ€™s</t>
  </si>
  <si>
    <t>ARG</t>
  </si>
  <si>
    <t>Argentina</t>
  </si>
  <si>
    <t>Buenos Aires</t>
  </si>
  <si>
    <t>South America</t>
  </si>
  <si>
    <t>ARM</t>
  </si>
  <si>
    <t>Armenia</t>
  </si>
  <si>
    <t>Yerevan</t>
  </si>
  <si>
    <t>ABW</t>
  </si>
  <si>
    <t>Aruba</t>
  </si>
  <si>
    <t>Oranjestad</t>
  </si>
  <si>
    <t>AUS</t>
  </si>
  <si>
    <t>Australia</t>
  </si>
  <si>
    <t>Canberra</t>
  </si>
  <si>
    <t>AUT</t>
  </si>
  <si>
    <t>Austria</t>
  </si>
  <si>
    <t>Vienna</t>
  </si>
  <si>
    <t>AZE</t>
  </si>
  <si>
    <t>Azerbaijan</t>
  </si>
  <si>
    <t>Baku</t>
  </si>
  <si>
    <t>BHS</t>
  </si>
  <si>
    <t>Bahamas</t>
  </si>
  <si>
    <t>Nassau</t>
  </si>
  <si>
    <t>BHR</t>
  </si>
  <si>
    <t>Bahrain</t>
  </si>
  <si>
    <t>Manama</t>
  </si>
  <si>
    <t>BGD</t>
  </si>
  <si>
    <t>Bangladesh</t>
  </si>
  <si>
    <t>Dhaka</t>
  </si>
  <si>
    <t>BRB</t>
  </si>
  <si>
    <t>Barbados</t>
  </si>
  <si>
    <t>Bridgetown</t>
  </si>
  <si>
    <t>BLR</t>
  </si>
  <si>
    <t>Belarus</t>
  </si>
  <si>
    <t>Minsk</t>
  </si>
  <si>
    <t>BEL</t>
  </si>
  <si>
    <t>Belgium</t>
  </si>
  <si>
    <t>Brussels</t>
  </si>
  <si>
    <t>BLZ</t>
  </si>
  <si>
    <t>Belize</t>
  </si>
  <si>
    <t>Belmopan</t>
  </si>
  <si>
    <t>BEN</t>
  </si>
  <si>
    <t>Benin</t>
  </si>
  <si>
    <t>Porto-Novo</t>
  </si>
  <si>
    <t>BMU</t>
  </si>
  <si>
    <t>Bermuda</t>
  </si>
  <si>
    <t>Hamilton</t>
  </si>
  <si>
    <t>BTN</t>
  </si>
  <si>
    <t>Bhutan</t>
  </si>
  <si>
    <t>Thimphu</t>
  </si>
  <si>
    <t>BOL</t>
  </si>
  <si>
    <t>Bolivia</t>
  </si>
  <si>
    <t>Sucre</t>
  </si>
  <si>
    <t>BIH</t>
  </si>
  <si>
    <t>Bosnia and Herzegovina</t>
  </si>
  <si>
    <t>Sarajevo</t>
  </si>
  <si>
    <t>BWA</t>
  </si>
  <si>
    <t>Botswana</t>
  </si>
  <si>
    <t>Gaborone</t>
  </si>
  <si>
    <t>BRA</t>
  </si>
  <si>
    <t>Brazil</t>
  </si>
  <si>
    <t>Brasilia</t>
  </si>
  <si>
    <t>VGB</t>
  </si>
  <si>
    <t>British Virgin Islands</t>
  </si>
  <si>
    <t>Road Town</t>
  </si>
  <si>
    <t>BRN</t>
  </si>
  <si>
    <t>Brunei</t>
  </si>
  <si>
    <t>Bandar Seri Begawan</t>
  </si>
  <si>
    <t>BGR</t>
  </si>
  <si>
    <t>Bulgaria</t>
  </si>
  <si>
    <t>Sofia</t>
  </si>
  <si>
    <t>BFA</t>
  </si>
  <si>
    <t>Burkina Faso</t>
  </si>
  <si>
    <t>Ouagadougou</t>
  </si>
  <si>
    <t>BDI</t>
  </si>
  <si>
    <t>Burundi</t>
  </si>
  <si>
    <t>Bujumbura</t>
  </si>
  <si>
    <t>KHM</t>
  </si>
  <si>
    <t>Cambodia</t>
  </si>
  <si>
    <t>Phnom Penh</t>
  </si>
  <si>
    <t>CMR</t>
  </si>
  <si>
    <t>Cameroon</t>
  </si>
  <si>
    <t>Yaounde</t>
  </si>
  <si>
    <t>CAN</t>
  </si>
  <si>
    <t>Canada</t>
  </si>
  <si>
    <t>Ottawa</t>
  </si>
  <si>
    <t>CPV</t>
  </si>
  <si>
    <t>Cape Verde</t>
  </si>
  <si>
    <t>Praia</t>
  </si>
  <si>
    <t>CYM</t>
  </si>
  <si>
    <t>Cayman Islands</t>
  </si>
  <si>
    <t>George Town</t>
  </si>
  <si>
    <t>CAF</t>
  </si>
  <si>
    <t>Central African Republic</t>
  </si>
  <si>
    <t>Bangui</t>
  </si>
  <si>
    <t>TCD</t>
  </si>
  <si>
    <t>Chad</t>
  </si>
  <si>
    <t>N'Djamena</t>
  </si>
  <si>
    <t>CHL</t>
  </si>
  <si>
    <t>Chile</t>
  </si>
  <si>
    <t>Santiago</t>
  </si>
  <si>
    <t>CHN</t>
  </si>
  <si>
    <t>China</t>
  </si>
  <si>
    <t>Beijing</t>
  </si>
  <si>
    <t>COL</t>
  </si>
  <si>
    <t>Colombia</t>
  </si>
  <si>
    <t>Bogota</t>
  </si>
  <si>
    <t>COM</t>
  </si>
  <si>
    <t>Comoros</t>
  </si>
  <si>
    <t>Moroni</t>
  </si>
  <si>
    <t>COK</t>
  </si>
  <si>
    <t>Cook Islands</t>
  </si>
  <si>
    <t>Avarua</t>
  </si>
  <si>
    <t>CRI</t>
  </si>
  <si>
    <t>Costa Rica</t>
  </si>
  <si>
    <t>San JosÃ©</t>
  </si>
  <si>
    <t>HRV</t>
  </si>
  <si>
    <t>Croatia</t>
  </si>
  <si>
    <t>Zagreb</t>
  </si>
  <si>
    <t>CUB</t>
  </si>
  <si>
    <t>Cuba</t>
  </si>
  <si>
    <t>Havana</t>
  </si>
  <si>
    <t>CUW</t>
  </si>
  <si>
    <t>Curacao</t>
  </si>
  <si>
    <t>Willemstad</t>
  </si>
  <si>
    <t>CYP</t>
  </si>
  <si>
    <t>Cyprus</t>
  </si>
  <si>
    <t>Nicosia</t>
  </si>
  <si>
    <t>CZE</t>
  </si>
  <si>
    <t>Czech Republic</t>
  </si>
  <si>
    <t>Prague</t>
  </si>
  <si>
    <t>DNK</t>
  </si>
  <si>
    <t>Denmark</t>
  </si>
  <si>
    <t>Copenhagen</t>
  </si>
  <si>
    <t>DJI</t>
  </si>
  <si>
    <t>Djibouti</t>
  </si>
  <si>
    <t>DMA</t>
  </si>
  <si>
    <t>Dominica</t>
  </si>
  <si>
    <t>Roseau</t>
  </si>
  <si>
    <t>DOM</t>
  </si>
  <si>
    <t>Dominican Republic</t>
  </si>
  <si>
    <t>Santo Domingo</t>
  </si>
  <si>
    <t>COD</t>
  </si>
  <si>
    <t>DR Congo</t>
  </si>
  <si>
    <t>Kinshasa</t>
  </si>
  <si>
    <t>ECU</t>
  </si>
  <si>
    <t>Ecuador</t>
  </si>
  <si>
    <t>Quito</t>
  </si>
  <si>
    <t>EGY</t>
  </si>
  <si>
    <t>Egypt</t>
  </si>
  <si>
    <t>Cairo</t>
  </si>
  <si>
    <t>SLV</t>
  </si>
  <si>
    <t>El Salvador</t>
  </si>
  <si>
    <t>San Salvador</t>
  </si>
  <si>
    <t>GNQ</t>
  </si>
  <si>
    <t>Equatorial Guinea</t>
  </si>
  <si>
    <t>Malabo</t>
  </si>
  <si>
    <t>ERI</t>
  </si>
  <si>
    <t>Eritrea</t>
  </si>
  <si>
    <t>Asmara</t>
  </si>
  <si>
    <t>EST</t>
  </si>
  <si>
    <t>Estonia</t>
  </si>
  <si>
    <t>Tallinn</t>
  </si>
  <si>
    <t>SWZ</t>
  </si>
  <si>
    <t>Eswatini</t>
  </si>
  <si>
    <t>Mbabane</t>
  </si>
  <si>
    <t>ETH</t>
  </si>
  <si>
    <t>Ethiopia</t>
  </si>
  <si>
    <t>Addis Ababa</t>
  </si>
  <si>
    <t>FLK</t>
  </si>
  <si>
    <t>Falkland Islands</t>
  </si>
  <si>
    <t>Stanley</t>
  </si>
  <si>
    <t>FRO</t>
  </si>
  <si>
    <t>Faroe Islands</t>
  </si>
  <si>
    <t>TÃ³rshavn</t>
  </si>
  <si>
    <t>FJI</t>
  </si>
  <si>
    <t>Fiji</t>
  </si>
  <si>
    <t>Suva</t>
  </si>
  <si>
    <t>FIN</t>
  </si>
  <si>
    <t>Finland</t>
  </si>
  <si>
    <t>Helsinki</t>
  </si>
  <si>
    <t>FRA</t>
  </si>
  <si>
    <t>France</t>
  </si>
  <si>
    <t>Paris</t>
  </si>
  <si>
    <t>GUF</t>
  </si>
  <si>
    <t>French Guiana</t>
  </si>
  <si>
    <t>Cayenne</t>
  </si>
  <si>
    <t>PYF</t>
  </si>
  <si>
    <t>French Polynesia</t>
  </si>
  <si>
    <t>Papeete</t>
  </si>
  <si>
    <t>GAB</t>
  </si>
  <si>
    <t>Gabon</t>
  </si>
  <si>
    <t>Libreville</t>
  </si>
  <si>
    <t>GMB</t>
  </si>
  <si>
    <t>Gambia</t>
  </si>
  <si>
    <t>Banjul</t>
  </si>
  <si>
    <t>GEO</t>
  </si>
  <si>
    <t>Georgia</t>
  </si>
  <si>
    <t>Tbilisi</t>
  </si>
  <si>
    <t>DEU</t>
  </si>
  <si>
    <t>Germany</t>
  </si>
  <si>
    <t>Berlin</t>
  </si>
  <si>
    <t>GHA</t>
  </si>
  <si>
    <t>Ghana</t>
  </si>
  <si>
    <t>Accra</t>
  </si>
  <si>
    <t>GIB</t>
  </si>
  <si>
    <t>Gibraltar</t>
  </si>
  <si>
    <t>GRC</t>
  </si>
  <si>
    <t>Greece</t>
  </si>
  <si>
    <t>Athens</t>
  </si>
  <si>
    <t>GRL</t>
  </si>
  <si>
    <t>Greenland</t>
  </si>
  <si>
    <t>Nuuk</t>
  </si>
  <si>
    <t>GRD</t>
  </si>
  <si>
    <t>Grenada</t>
  </si>
  <si>
    <t>Saint George's</t>
  </si>
  <si>
    <t>GLP</t>
  </si>
  <si>
    <t>Guadeloupe</t>
  </si>
  <si>
    <t>Basse-Terre</t>
  </si>
  <si>
    <t>GUM</t>
  </si>
  <si>
    <t>Guam</t>
  </si>
  <si>
    <t>HagÃ¥tÃ±a</t>
  </si>
  <si>
    <t>GTM</t>
  </si>
  <si>
    <t>Guatemala</t>
  </si>
  <si>
    <t>Guatemala City</t>
  </si>
  <si>
    <t>GGY</t>
  </si>
  <si>
    <t>Guernsey</t>
  </si>
  <si>
    <t>Saint Peter Port</t>
  </si>
  <si>
    <t>GIN</t>
  </si>
  <si>
    <t>Guinea</t>
  </si>
  <si>
    <t>Conakry</t>
  </si>
  <si>
    <t>GNB</t>
  </si>
  <si>
    <t>Guinea-Bissau</t>
  </si>
  <si>
    <t>Bissau</t>
  </si>
  <si>
    <t>GUY</t>
  </si>
  <si>
    <t>Guyana</t>
  </si>
  <si>
    <t>Georgetown</t>
  </si>
  <si>
    <t>HTI</t>
  </si>
  <si>
    <t>Haiti</t>
  </si>
  <si>
    <t>Port-au-Prince</t>
  </si>
  <si>
    <t>HND</t>
  </si>
  <si>
    <t>Honduras</t>
  </si>
  <si>
    <t>Tegucigalpa</t>
  </si>
  <si>
    <t>HKG</t>
  </si>
  <si>
    <t>Hong Kong</t>
  </si>
  <si>
    <t>HUN</t>
  </si>
  <si>
    <t>Hungary</t>
  </si>
  <si>
    <t>Budapest</t>
  </si>
  <si>
    <t>ISL</t>
  </si>
  <si>
    <t>Iceland</t>
  </si>
  <si>
    <t>ReykjavÃ­k</t>
  </si>
  <si>
    <t>IND</t>
  </si>
  <si>
    <t>India</t>
  </si>
  <si>
    <t>New Delhi</t>
  </si>
  <si>
    <t>IDN</t>
  </si>
  <si>
    <t>Indonesia</t>
  </si>
  <si>
    <t>Jakarta</t>
  </si>
  <si>
    <t>IRN</t>
  </si>
  <si>
    <t>Iran</t>
  </si>
  <si>
    <t>Tehran</t>
  </si>
  <si>
    <t>IRQ</t>
  </si>
  <si>
    <t>Iraq</t>
  </si>
  <si>
    <t>Baghdad</t>
  </si>
  <si>
    <t>IRL</t>
  </si>
  <si>
    <t>Ireland</t>
  </si>
  <si>
    <t>Dublin</t>
  </si>
  <si>
    <t>IMN</t>
  </si>
  <si>
    <t>Isle of Man</t>
  </si>
  <si>
    <t>Douglas</t>
  </si>
  <si>
    <t>ISR</t>
  </si>
  <si>
    <t>Israel</t>
  </si>
  <si>
    <t>Jerusalem</t>
  </si>
  <si>
    <t>ITA</t>
  </si>
  <si>
    <t>Italy</t>
  </si>
  <si>
    <t>Rome</t>
  </si>
  <si>
    <t>CIV</t>
  </si>
  <si>
    <t>Ivory Coast</t>
  </si>
  <si>
    <t>Yamoussoukro</t>
  </si>
  <si>
    <t>JAM</t>
  </si>
  <si>
    <t>Jamaica</t>
  </si>
  <si>
    <t>Kingston</t>
  </si>
  <si>
    <t>JPN</t>
  </si>
  <si>
    <t>Japan</t>
  </si>
  <si>
    <t>Tokyo</t>
  </si>
  <si>
    <t>JEY</t>
  </si>
  <si>
    <t>Jersey</t>
  </si>
  <si>
    <t>Saint Helier</t>
  </si>
  <si>
    <t>JOR</t>
  </si>
  <si>
    <t>Jordan</t>
  </si>
  <si>
    <t>Amman</t>
  </si>
  <si>
    <t>KAZ</t>
  </si>
  <si>
    <t>Kazakhstan</t>
  </si>
  <si>
    <t>Nursultan</t>
  </si>
  <si>
    <t>KEN</t>
  </si>
  <si>
    <t>Kenya</t>
  </si>
  <si>
    <t>Nairobi</t>
  </si>
  <si>
    <t>KIR</t>
  </si>
  <si>
    <t>Kiribati</t>
  </si>
  <si>
    <t>Tarawa</t>
  </si>
  <si>
    <t>KWT</t>
  </si>
  <si>
    <t>Kuwait</t>
  </si>
  <si>
    <t>Kuwait City</t>
  </si>
  <si>
    <t>KGZ</t>
  </si>
  <si>
    <t>Kyrgyzstan</t>
  </si>
  <si>
    <t>Bishkek</t>
  </si>
  <si>
    <t>LAO</t>
  </si>
  <si>
    <t>Laos</t>
  </si>
  <si>
    <t>Vientiane</t>
  </si>
  <si>
    <t>LVA</t>
  </si>
  <si>
    <t>Latvia</t>
  </si>
  <si>
    <t>Riga</t>
  </si>
  <si>
    <t>LBN</t>
  </si>
  <si>
    <t>Lebanon</t>
  </si>
  <si>
    <t>Beirut</t>
  </si>
  <si>
    <t>LSO</t>
  </si>
  <si>
    <t>Lesotho</t>
  </si>
  <si>
    <t>Maseru</t>
  </si>
  <si>
    <t>LBR</t>
  </si>
  <si>
    <t>Liberia</t>
  </si>
  <si>
    <t>Monrovia</t>
  </si>
  <si>
    <t>LBY</t>
  </si>
  <si>
    <t>Libya</t>
  </si>
  <si>
    <t>Tripoli</t>
  </si>
  <si>
    <t>LIE</t>
  </si>
  <si>
    <t>Liechtenstein</t>
  </si>
  <si>
    <t>Vaduz</t>
  </si>
  <si>
    <t>LTU</t>
  </si>
  <si>
    <t>Lithuania</t>
  </si>
  <si>
    <t>Vilnius</t>
  </si>
  <si>
    <t>LUX</t>
  </si>
  <si>
    <t>Luxembourg</t>
  </si>
  <si>
    <t>MAC</t>
  </si>
  <si>
    <t>Macau</t>
  </si>
  <si>
    <t>Concelho de Macau</t>
  </si>
  <si>
    <t>MDG</t>
  </si>
  <si>
    <t>Madagascar</t>
  </si>
  <si>
    <t>Antananarivo</t>
  </si>
  <si>
    <t>MWI</t>
  </si>
  <si>
    <t>Malawi</t>
  </si>
  <si>
    <t>Lilongwe</t>
  </si>
  <si>
    <t>MYS</t>
  </si>
  <si>
    <t>Malaysia</t>
  </si>
  <si>
    <t>Kuala Lumpur</t>
  </si>
  <si>
    <t>MDV</t>
  </si>
  <si>
    <t>Maldives</t>
  </si>
  <si>
    <t>MalÃ©</t>
  </si>
  <si>
    <t>MLI</t>
  </si>
  <si>
    <t>Mali</t>
  </si>
  <si>
    <t>Bamako</t>
  </si>
  <si>
    <t>MLT</t>
  </si>
  <si>
    <t>Malta</t>
  </si>
  <si>
    <t>Valletta</t>
  </si>
  <si>
    <t>MHL</t>
  </si>
  <si>
    <t>Marshall Islands</t>
  </si>
  <si>
    <t>Majuro</t>
  </si>
  <si>
    <t>MTQ</t>
  </si>
  <si>
    <t>Martinique</t>
  </si>
  <si>
    <t>Fort-de-France</t>
  </si>
  <si>
    <t>MRT</t>
  </si>
  <si>
    <t>Mauritania</t>
  </si>
  <si>
    <t>Nouakchott</t>
  </si>
  <si>
    <t>MUS</t>
  </si>
  <si>
    <t>Mauritius</t>
  </si>
  <si>
    <t>Port Louis</t>
  </si>
  <si>
    <t>MYT</t>
  </si>
  <si>
    <t>Mayotte</t>
  </si>
  <si>
    <t>Mamoudzou</t>
  </si>
  <si>
    <t>MEX</t>
  </si>
  <si>
    <t>Mexico</t>
  </si>
  <si>
    <t>Mexico City</t>
  </si>
  <si>
    <t>FSM</t>
  </si>
  <si>
    <t>Micronesia</t>
  </si>
  <si>
    <t>Palikir</t>
  </si>
  <si>
    <t>MDA</t>
  </si>
  <si>
    <t>Moldova</t>
  </si>
  <si>
    <t>Chisinau</t>
  </si>
  <si>
    <t>MCO</t>
  </si>
  <si>
    <t>Monaco</t>
  </si>
  <si>
    <t>MNG</t>
  </si>
  <si>
    <t>Mongolia</t>
  </si>
  <si>
    <t>Ulaanbaatar</t>
  </si>
  <si>
    <t>MNE</t>
  </si>
  <si>
    <t>Montenegro</t>
  </si>
  <si>
    <t>Podgorica</t>
  </si>
  <si>
    <t>MSR</t>
  </si>
  <si>
    <t>Montserrat</t>
  </si>
  <si>
    <t>Brades</t>
  </si>
  <si>
    <t>MAR</t>
  </si>
  <si>
    <t>Morocco</t>
  </si>
  <si>
    <t>Rabat</t>
  </si>
  <si>
    <t>MOZ</t>
  </si>
  <si>
    <t>Mozambique</t>
  </si>
  <si>
    <t>Maputo</t>
  </si>
  <si>
    <t>MMR</t>
  </si>
  <si>
    <t>Myanmar</t>
  </si>
  <si>
    <t>Nay Pyi Taw</t>
  </si>
  <si>
    <t>NAM</t>
  </si>
  <si>
    <t>Namibia</t>
  </si>
  <si>
    <t>Windhoek</t>
  </si>
  <si>
    <t>NRU</t>
  </si>
  <si>
    <t>Nauru</t>
  </si>
  <si>
    <t>Yaren</t>
  </si>
  <si>
    <t>NPL</t>
  </si>
  <si>
    <t>Nepal</t>
  </si>
  <si>
    <t>Kathmandu</t>
  </si>
  <si>
    <t>NLD</t>
  </si>
  <si>
    <t>Netherlands</t>
  </si>
  <si>
    <t>Amsterdam</t>
  </si>
  <si>
    <t>NCL</t>
  </si>
  <si>
    <t>New Caledonia</t>
  </si>
  <si>
    <t>NoumÃ©a</t>
  </si>
  <si>
    <t>NZL</t>
  </si>
  <si>
    <t>New Zealand</t>
  </si>
  <si>
    <t>Wellington</t>
  </si>
  <si>
    <t>NIC</t>
  </si>
  <si>
    <t>Nicaragua</t>
  </si>
  <si>
    <t>Managua</t>
  </si>
  <si>
    <t>NER</t>
  </si>
  <si>
    <t>Niger</t>
  </si>
  <si>
    <t>Niamey</t>
  </si>
  <si>
    <t>NGA</t>
  </si>
  <si>
    <t>Nigeria</t>
  </si>
  <si>
    <t>Abuja</t>
  </si>
  <si>
    <t>NIU</t>
  </si>
  <si>
    <t>Niue</t>
  </si>
  <si>
    <t>Alofi</t>
  </si>
  <si>
    <t>PRK</t>
  </si>
  <si>
    <t>North Korea</t>
  </si>
  <si>
    <t>Pyongyang</t>
  </si>
  <si>
    <t>MKD</t>
  </si>
  <si>
    <t>North Macedonia</t>
  </si>
  <si>
    <t>Skopje</t>
  </si>
  <si>
    <t>NFK</t>
  </si>
  <si>
    <t>Northern Mariana Islands</t>
  </si>
  <si>
    <t>Saipan</t>
  </si>
  <si>
    <t>NOR</t>
  </si>
  <si>
    <t>Norway</t>
  </si>
  <si>
    <t>Oslo</t>
  </si>
  <si>
    <t>OMN</t>
  </si>
  <si>
    <t>Oman</t>
  </si>
  <si>
    <t>Muscat</t>
  </si>
  <si>
    <t>PAK</t>
  </si>
  <si>
    <t>Pakistan</t>
  </si>
  <si>
    <t>Islamabad</t>
  </si>
  <si>
    <t>PLW</t>
  </si>
  <si>
    <t>Palau</t>
  </si>
  <si>
    <t>Ngerulmud</t>
  </si>
  <si>
    <t>PSE</t>
  </si>
  <si>
    <t>Palestine</t>
  </si>
  <si>
    <t>Ramallah</t>
  </si>
  <si>
    <t>PAN</t>
  </si>
  <si>
    <t>Panama</t>
  </si>
  <si>
    <t>Panama City</t>
  </si>
  <si>
    <t>PNG</t>
  </si>
  <si>
    <t>Papua New Guinea</t>
  </si>
  <si>
    <t>Port Moresby</t>
  </si>
  <si>
    <t>PRY</t>
  </si>
  <si>
    <t>Paraguay</t>
  </si>
  <si>
    <t>AsunciÃ³n</t>
  </si>
  <si>
    <t>PER</t>
  </si>
  <si>
    <t>Peru</t>
  </si>
  <si>
    <t>Lima</t>
  </si>
  <si>
    <t>PHL</t>
  </si>
  <si>
    <t>Philippines</t>
  </si>
  <si>
    <t>Manila</t>
  </si>
  <si>
    <t>POL</t>
  </si>
  <si>
    <t>Poland</t>
  </si>
  <si>
    <t>Warsaw</t>
  </si>
  <si>
    <t>PRT</t>
  </si>
  <si>
    <t>Portugal</t>
  </si>
  <si>
    <t>Lisbon</t>
  </si>
  <si>
    <t>PRI</t>
  </si>
  <si>
    <t>Puerto Rico</t>
  </si>
  <si>
    <t>San Juan</t>
  </si>
  <si>
    <t>QAT</t>
  </si>
  <si>
    <t>Qatar</t>
  </si>
  <si>
    <t>Doha</t>
  </si>
  <si>
    <t>COG</t>
  </si>
  <si>
    <t>Republic of the Congo</t>
  </si>
  <si>
    <t>Brazzaville</t>
  </si>
  <si>
    <t>REU</t>
  </si>
  <si>
    <t>Reunion</t>
  </si>
  <si>
    <t>Saint-Denis</t>
  </si>
  <si>
    <t>ROU</t>
  </si>
  <si>
    <t>Romania</t>
  </si>
  <si>
    <t>Bucharest</t>
  </si>
  <si>
    <t>RUS</t>
  </si>
  <si>
    <t>Russia</t>
  </si>
  <si>
    <t>Moscow</t>
  </si>
  <si>
    <t>RWA</t>
  </si>
  <si>
    <t>Rwanda</t>
  </si>
  <si>
    <t>Kigali</t>
  </si>
  <si>
    <t>BLM</t>
  </si>
  <si>
    <t>Saint Barthelemy</t>
  </si>
  <si>
    <t>Gustavia</t>
  </si>
  <si>
    <t>KNA</t>
  </si>
  <si>
    <t>Saint Kitts and Nevis</t>
  </si>
  <si>
    <t>Basseterre</t>
  </si>
  <si>
    <t>LCA</t>
  </si>
  <si>
    <t>Saint Lucia</t>
  </si>
  <si>
    <t>Castries</t>
  </si>
  <si>
    <t>MAF</t>
  </si>
  <si>
    <t>Saint Martin</t>
  </si>
  <si>
    <t>Marigot</t>
  </si>
  <si>
    <t>SPM</t>
  </si>
  <si>
    <t>Saint Pierre and Miquelon</t>
  </si>
  <si>
    <t>Saint-Pierre</t>
  </si>
  <si>
    <t>VCT</t>
  </si>
  <si>
    <t>Saint Vincent and the Grenadines</t>
  </si>
  <si>
    <t>Kingstown</t>
  </si>
  <si>
    <t>WSM</t>
  </si>
  <si>
    <t>Samoa</t>
  </si>
  <si>
    <t>Apia</t>
  </si>
  <si>
    <t>SMR</t>
  </si>
  <si>
    <t>San Marino</t>
  </si>
  <si>
    <t>STP</t>
  </si>
  <si>
    <t>Sao Tome and Principe</t>
  </si>
  <si>
    <t>SÃ£o TomÃ©</t>
  </si>
  <si>
    <t>SAU</t>
  </si>
  <si>
    <t>Saudi Arabia</t>
  </si>
  <si>
    <t>Riyadh</t>
  </si>
  <si>
    <t>SEN</t>
  </si>
  <si>
    <t>Senegal</t>
  </si>
  <si>
    <t>Dakar</t>
  </si>
  <si>
    <t>SRB</t>
  </si>
  <si>
    <t>Serbia</t>
  </si>
  <si>
    <t>Belgrade</t>
  </si>
  <si>
    <t>SYC</t>
  </si>
  <si>
    <t>Seychelles</t>
  </si>
  <si>
    <t>Victoria</t>
  </si>
  <si>
    <t>SLE</t>
  </si>
  <si>
    <t>Sierra Leone</t>
  </si>
  <si>
    <t>Freetown</t>
  </si>
  <si>
    <t>SGP</t>
  </si>
  <si>
    <t>Singapore</t>
  </si>
  <si>
    <t>SXM</t>
  </si>
  <si>
    <t>Sint Maarten</t>
  </si>
  <si>
    <t>Philipsburg</t>
  </si>
  <si>
    <t>SVK</t>
  </si>
  <si>
    <t>Slovakia</t>
  </si>
  <si>
    <t>Bratislava</t>
  </si>
  <si>
    <t>SVN</t>
  </si>
  <si>
    <t>Slovenia</t>
  </si>
  <si>
    <t>Ljubljana</t>
  </si>
  <si>
    <t>SLB</t>
  </si>
  <si>
    <t>Solomon Islands</t>
  </si>
  <si>
    <t>Honiara</t>
  </si>
  <si>
    <t>SOM</t>
  </si>
  <si>
    <t>Somalia</t>
  </si>
  <si>
    <t>Mogadishu</t>
  </si>
  <si>
    <t>ZAF</t>
  </si>
  <si>
    <t>South Africa</t>
  </si>
  <si>
    <t>Pretoria</t>
  </si>
  <si>
    <t>KOR</t>
  </si>
  <si>
    <t>South Korea</t>
  </si>
  <si>
    <t>Seoul</t>
  </si>
  <si>
    <t>SSD</t>
  </si>
  <si>
    <t>South Sudan</t>
  </si>
  <si>
    <t>Juba</t>
  </si>
  <si>
    <t>ESP</t>
  </si>
  <si>
    <t>Spain</t>
  </si>
  <si>
    <t>Madrid</t>
  </si>
  <si>
    <t>LKA</t>
  </si>
  <si>
    <t>Sri Lanka</t>
  </si>
  <si>
    <t>Colombo</t>
  </si>
  <si>
    <t>SDN</t>
  </si>
  <si>
    <t>Sudan</t>
  </si>
  <si>
    <t>Khartoum</t>
  </si>
  <si>
    <t>SUR</t>
  </si>
  <si>
    <t>Suriname</t>
  </si>
  <si>
    <t>Paramaribo</t>
  </si>
  <si>
    <t>SWE</t>
  </si>
  <si>
    <t>Sweden</t>
  </si>
  <si>
    <t>Stockholm</t>
  </si>
  <si>
    <t>CHE</t>
  </si>
  <si>
    <t>Switzerland</t>
  </si>
  <si>
    <t>Bern</t>
  </si>
  <si>
    <t>SYR</t>
  </si>
  <si>
    <t>Syria</t>
  </si>
  <si>
    <t>Damascus</t>
  </si>
  <si>
    <t>TWN</t>
  </si>
  <si>
    <t>Taiwan</t>
  </si>
  <si>
    <t>Taipei</t>
  </si>
  <si>
    <t>TJK</t>
  </si>
  <si>
    <t>Tajikistan</t>
  </si>
  <si>
    <t>Dushanbe</t>
  </si>
  <si>
    <t>TZA</t>
  </si>
  <si>
    <t>Tanzania</t>
  </si>
  <si>
    <t>Dodoma</t>
  </si>
  <si>
    <t>THA</t>
  </si>
  <si>
    <t>Thailand</t>
  </si>
  <si>
    <t>Bangkok</t>
  </si>
  <si>
    <t>TLS</t>
  </si>
  <si>
    <t>Timor-Leste</t>
  </si>
  <si>
    <t>Dili</t>
  </si>
  <si>
    <t>TGO</t>
  </si>
  <si>
    <t>Togo</t>
  </si>
  <si>
    <t>LomÃ©</t>
  </si>
  <si>
    <t>TKL</t>
  </si>
  <si>
    <t>Tokelau</t>
  </si>
  <si>
    <t>Nukunonu</t>
  </si>
  <si>
    <t>TON</t>
  </si>
  <si>
    <t>Tonga</t>
  </si>
  <si>
    <t>Nukuâ€˜alofa</t>
  </si>
  <si>
    <t>TTO</t>
  </si>
  <si>
    <t>Trinidad and Tobago</t>
  </si>
  <si>
    <t>Port-of-Spain</t>
  </si>
  <si>
    <t>TUN</t>
  </si>
  <si>
    <t>Tunisia</t>
  </si>
  <si>
    <t>Tunis</t>
  </si>
  <si>
    <t>TUR</t>
  </si>
  <si>
    <t>Turkey</t>
  </si>
  <si>
    <t>Ankara</t>
  </si>
  <si>
    <t>TKM</t>
  </si>
  <si>
    <t>Turkmenistan</t>
  </si>
  <si>
    <t>Ashgabat</t>
  </si>
  <si>
    <t>TCA</t>
  </si>
  <si>
    <t>Turks and Caicos Islands</t>
  </si>
  <si>
    <t>Cockburn Town</t>
  </si>
  <si>
    <t>TUV</t>
  </si>
  <si>
    <t>Tuvalu</t>
  </si>
  <si>
    <t>Funafuti</t>
  </si>
  <si>
    <t>UGA</t>
  </si>
  <si>
    <t>Uganda</t>
  </si>
  <si>
    <t>Kampala</t>
  </si>
  <si>
    <t>UKR</t>
  </si>
  <si>
    <t>Ukraine</t>
  </si>
  <si>
    <t>Kiev</t>
  </si>
  <si>
    <t>ARE</t>
  </si>
  <si>
    <t>United Arab Emirates</t>
  </si>
  <si>
    <t>Abu Dhabi</t>
  </si>
  <si>
    <t>GBR</t>
  </si>
  <si>
    <t>United Kingdom</t>
  </si>
  <si>
    <t>London</t>
  </si>
  <si>
    <t>USA</t>
  </si>
  <si>
    <t>United States</t>
  </si>
  <si>
    <t>Washington, D.C.</t>
  </si>
  <si>
    <t>VIR</t>
  </si>
  <si>
    <t>United States Virgin Islands</t>
  </si>
  <si>
    <t>Charlotte Amalie</t>
  </si>
  <si>
    <t>URY</t>
  </si>
  <si>
    <t>Uruguay</t>
  </si>
  <si>
    <t>Montevideo</t>
  </si>
  <si>
    <t>UZB</t>
  </si>
  <si>
    <t>Uzbekistan</t>
  </si>
  <si>
    <t>Tashkent</t>
  </si>
  <si>
    <t>VUT</t>
  </si>
  <si>
    <t>Vanuatu</t>
  </si>
  <si>
    <t>Port-Vila</t>
  </si>
  <si>
    <t>VAT</t>
  </si>
  <si>
    <t>Vatican City</t>
  </si>
  <si>
    <t>VEN</t>
  </si>
  <si>
    <t>Venezuela</t>
  </si>
  <si>
    <t>Caracas</t>
  </si>
  <si>
    <t>VNM</t>
  </si>
  <si>
    <t>Vietnam</t>
  </si>
  <si>
    <t>Hanoi</t>
  </si>
  <si>
    <t>WLF</t>
  </si>
  <si>
    <t>Wallis and Futuna</t>
  </si>
  <si>
    <t>Mata-Utu</t>
  </si>
  <si>
    <t>ESH</t>
  </si>
  <si>
    <t>Western Sahara</t>
  </si>
  <si>
    <t>El AaiÃºn</t>
  </si>
  <si>
    <t>YEM</t>
  </si>
  <si>
    <t>Yemen</t>
  </si>
  <si>
    <t>Sanaa</t>
  </si>
  <si>
    <t>ZMB</t>
  </si>
  <si>
    <t>Zambia</t>
  </si>
  <si>
    <t>Lusaka</t>
  </si>
  <si>
    <t>ZWE</t>
  </si>
  <si>
    <t>Zimbabwe</t>
  </si>
  <si>
    <t>Harare</t>
  </si>
  <si>
    <t>Row Labels</t>
  </si>
  <si>
    <t>Grand Total</t>
  </si>
  <si>
    <t>Sum of 2022 Population</t>
  </si>
  <si>
    <t>Sum of 2020 Population</t>
  </si>
  <si>
    <t>Sum of 2015 Population</t>
  </si>
  <si>
    <t>Sum of 2010 Population</t>
  </si>
  <si>
    <t>Sum of 2000 Population</t>
  </si>
  <si>
    <t>Sum of 1990 Population</t>
  </si>
  <si>
    <t>Sum of 1980 Population</t>
  </si>
  <si>
    <t>Sum of 1970 Population</t>
  </si>
  <si>
    <t>Population Distribution</t>
  </si>
  <si>
    <t>Sum of Growth Rate</t>
  </si>
  <si>
    <t>Sum of Density (per kmÂ²)</t>
  </si>
  <si>
    <t>Growth rate</t>
  </si>
  <si>
    <t>Sum of Area (kmÂ²)</t>
  </si>
  <si>
    <t>Area Distribution</t>
  </si>
  <si>
    <t>World Growth rate</t>
  </si>
  <si>
    <t>Sum of World Population Percentage</t>
  </si>
  <si>
    <t>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</si>
</sst>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43" formatCode="_ * #,##0.00_ ;_ * \-#,##0.00_ ;_ * &quot;-&quot;??_ ;_ @_ "/>
    <numFmt numFmtId="164" formatCode="0.00,,\ &quot;M&quot;"/>
    <numFmt numFmtId="165" formatCode="#,###"/>
    <numFmt numFmtId="166" formatCode="[&gt;999999999]0.00,,,&quot;B&quot;;[&gt;999999]0.00,,&quot;M&quot;;0"/>
    <numFmt numFmtId="167" formatCode="General&quot;%&quot;"/>
  </numFmts>
  <fonts count="22"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color rgb="FFCCFFFF"/>
      <name val="Calibri"/>
      <family val="2"/>
      <scheme val="minor"/>
    </font>
    <font>
      <b/>
      <sz val="18"/>
      <color theme="0"/>
      <name val="Calibri"/>
      <family val="2"/>
      <scheme val="minor"/>
    </font>
    <font>
      <b/>
      <sz val="20"/>
      <color theme="0"/>
      <name val="Calibri"/>
      <family val="2"/>
      <scheme val="minor"/>
    </font>
    <font>
      <b/>
      <sz val="16"/>
      <color theme="0"/>
      <name val="Calibri"/>
      <family val="2"/>
      <scheme val="minor"/>
    </font>
  </fonts>
  <fills count="37">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1" tint="0.249977111117893"/>
        <bgColor indexed="64"/>
      </patternFill>
    </fill>
    <fill>
      <patternFill patternType="solid">
        <fgColor theme="2" tint="-0.89999084444715716"/>
        <bgColor indexed="64"/>
      </patternFill>
    </fill>
    <fill>
      <patternFill patternType="solid">
        <fgColor theme="1" tint="0.14999847407452621"/>
        <bgColor indexed="64"/>
      </patternFill>
    </fill>
    <fill>
      <patternFill patternType="solid">
        <fgColor theme="1" tint="0.14999847407452621"/>
        <bgColor theme="4" tint="0.79998168889431442"/>
      </patternFill>
    </fill>
  </fills>
  <borders count="12">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bottom style="thin">
        <color theme="4" tint="0.39997558519241921"/>
      </bottom>
      <diagonal/>
    </border>
    <border>
      <left/>
      <right/>
      <top style="thin">
        <color theme="4" tint="0.39997558519241921"/>
      </top>
      <bottom/>
      <diagonal/>
    </border>
  </borders>
  <cellStyleXfs count="44">
    <xf numFmtId="0" fontId="0" fillId="0" borderId="0"/>
    <xf numFmtId="43" fontId="1" fillId="0" borderId="0" applyFont="0" applyFill="0" applyBorder="0" applyAlignment="0" applyProtection="0"/>
    <xf numFmtId="9" fontId="1" fillId="0" borderId="0" applyFont="0" applyFill="0" applyBorder="0" applyAlignment="0" applyProtection="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22">
    <xf numFmtId="0" fontId="0" fillId="0" borderId="0" xfId="0"/>
    <xf numFmtId="164" fontId="0" fillId="0" borderId="0" xfId="0" applyNumberFormat="1"/>
    <xf numFmtId="165" fontId="0" fillId="0" borderId="0" xfId="0" applyNumberFormat="1"/>
    <xf numFmtId="43" fontId="0" fillId="0" borderId="0" xfId="1" applyFont="1"/>
    <xf numFmtId="0" fontId="18" fillId="33" borderId="0" xfId="0" applyFont="1" applyFill="1"/>
    <xf numFmtId="0" fontId="0" fillId="34" borderId="0" xfId="0" applyFill="1"/>
    <xf numFmtId="0" fontId="17" fillId="35" borderId="0" xfId="0" applyFont="1" applyFill="1"/>
    <xf numFmtId="166" fontId="17" fillId="35" borderId="0" xfId="0" applyNumberFormat="1" applyFont="1" applyFill="1"/>
    <xf numFmtId="0" fontId="17" fillId="35" borderId="0" xfId="0" applyFont="1" applyFill="1" applyAlignment="1">
      <alignment horizontal="left"/>
    </xf>
    <xf numFmtId="43" fontId="17" fillId="35" borderId="0" xfId="0" applyNumberFormat="1" applyFont="1" applyFill="1"/>
    <xf numFmtId="165" fontId="17" fillId="35" borderId="0" xfId="0" applyNumberFormat="1" applyFont="1" applyFill="1"/>
    <xf numFmtId="164" fontId="13" fillId="36" borderId="11" xfId="0" applyNumberFormat="1" applyFont="1" applyFill="1" applyBorder="1"/>
    <xf numFmtId="167" fontId="17" fillId="35" borderId="0" xfId="2" applyNumberFormat="1" applyFont="1" applyFill="1"/>
    <xf numFmtId="43" fontId="17" fillId="35" borderId="0" xfId="1" applyFont="1" applyFill="1"/>
    <xf numFmtId="166" fontId="13" fillId="35" borderId="10" xfId="0" applyNumberFormat="1" applyFont="1" applyFill="1" applyBorder="1"/>
    <xf numFmtId="9" fontId="13" fillId="35" borderId="10" xfId="2" applyFont="1" applyFill="1" applyBorder="1" applyAlignment="1"/>
    <xf numFmtId="166" fontId="13" fillId="36" borderId="11" xfId="0" applyNumberFormat="1" applyFont="1" applyFill="1" applyBorder="1"/>
    <xf numFmtId="0" fontId="17" fillId="35" borderId="0" xfId="0" applyFont="1" applyFill="1" applyAlignment="1">
      <alignment horizontal="left" indent="1"/>
    </xf>
    <xf numFmtId="0" fontId="19" fillId="35" borderId="0" xfId="0" applyFont="1" applyFill="1" applyAlignment="1">
      <alignment horizontal="center"/>
    </xf>
    <xf numFmtId="0" fontId="17" fillId="35" borderId="0" xfId="0" applyFont="1" applyFill="1" applyAlignment="1">
      <alignment horizontal="center"/>
    </xf>
    <xf numFmtId="0" fontId="20" fillId="35" borderId="0" xfId="0" applyFont="1" applyFill="1" applyAlignment="1">
      <alignment horizontal="center"/>
    </xf>
    <xf numFmtId="0" fontId="21" fillId="35" borderId="0" xfId="0" applyFont="1" applyFill="1" applyAlignment="1">
      <alignment horizontal="center"/>
    </xf>
  </cellXfs>
  <cellStyles count="44">
    <cellStyle name="20% - Accent1" xfId="21" builtinId="30" customBuiltin="1"/>
    <cellStyle name="20% - Accent2" xfId="25" builtinId="34" customBuiltin="1"/>
    <cellStyle name="20% - Accent3" xfId="29" builtinId="38" customBuiltin="1"/>
    <cellStyle name="20% - Accent4" xfId="33" builtinId="42" customBuiltin="1"/>
    <cellStyle name="20% - Accent5" xfId="37" builtinId="46" customBuiltin="1"/>
    <cellStyle name="20% - Accent6" xfId="41" builtinId="50" customBuiltin="1"/>
    <cellStyle name="40% - Accent1" xfId="22" builtinId="31" customBuiltin="1"/>
    <cellStyle name="40% - Accent2" xfId="26" builtinId="35" customBuiltin="1"/>
    <cellStyle name="40% - Accent3" xfId="30" builtinId="39" customBuiltin="1"/>
    <cellStyle name="40% - Accent4" xfId="34" builtinId="43" customBuiltin="1"/>
    <cellStyle name="40% - Accent5" xfId="38" builtinId="47" customBuiltin="1"/>
    <cellStyle name="40% - Accent6" xfId="42" builtinId="51" customBuiltin="1"/>
    <cellStyle name="60% - Accent1" xfId="23" builtinId="32" customBuiltin="1"/>
    <cellStyle name="60% - Accent2" xfId="27" builtinId="36" customBuiltin="1"/>
    <cellStyle name="60% - Accent3" xfId="31" builtinId="40" customBuiltin="1"/>
    <cellStyle name="60% - Accent4" xfId="35" builtinId="44" customBuiltin="1"/>
    <cellStyle name="60% - Accent5" xfId="39" builtinId="48" customBuiltin="1"/>
    <cellStyle name="60% - Accent6" xfId="43" builtinId="52" customBuiltin="1"/>
    <cellStyle name="Accent1" xfId="20" builtinId="29" customBuiltin="1"/>
    <cellStyle name="Accent2" xfId="24" builtinId="33" customBuiltin="1"/>
    <cellStyle name="Accent3" xfId="28" builtinId="37" customBuiltin="1"/>
    <cellStyle name="Accent4" xfId="32" builtinId="41" customBuiltin="1"/>
    <cellStyle name="Accent5" xfId="36" builtinId="45" customBuiltin="1"/>
    <cellStyle name="Accent6" xfId="40" builtinId="49" customBuiltin="1"/>
    <cellStyle name="Bad" xfId="9" builtinId="27" customBuiltin="1"/>
    <cellStyle name="Calculation" xfId="13" builtinId="22" customBuiltin="1"/>
    <cellStyle name="Check Cell" xfId="15" builtinId="23" customBuiltin="1"/>
    <cellStyle name="Comma" xfId="1" builtinId="3"/>
    <cellStyle name="Explanatory Text" xfId="18" builtinId="53" customBuiltin="1"/>
    <cellStyle name="Good" xfId="8" builtinId="26" customBuiltin="1"/>
    <cellStyle name="Heading 1" xfId="4" builtinId="16" customBuiltin="1"/>
    <cellStyle name="Heading 2" xfId="5" builtinId="17" customBuiltin="1"/>
    <cellStyle name="Heading 3" xfId="6" builtinId="18" customBuiltin="1"/>
    <cellStyle name="Heading 4" xfId="7" builtinId="19" customBuiltin="1"/>
    <cellStyle name="Input" xfId="11" builtinId="20" customBuiltin="1"/>
    <cellStyle name="Linked Cell" xfId="14" builtinId="24" customBuiltin="1"/>
    <cellStyle name="Neutral" xfId="10" builtinId="28" customBuiltin="1"/>
    <cellStyle name="Normal" xfId="0" builtinId="0"/>
    <cellStyle name="Note" xfId="17" builtinId="10" customBuiltin="1"/>
    <cellStyle name="Output" xfId="12" builtinId="21" customBuiltin="1"/>
    <cellStyle name="Percent" xfId="2" builtinId="5"/>
    <cellStyle name="Title" xfId="3" builtinId="15" customBuiltin="1"/>
    <cellStyle name="Total" xfId="19" builtinId="25" customBuiltin="1"/>
    <cellStyle name="Warning Text" xfId="16" builtinId="11" customBuiltin="1"/>
  </cellStyles>
  <dxfs count="127">
    <dxf>
      <fill>
        <patternFill>
          <bgColor theme="1" tint="0.14999847407452621"/>
        </patternFill>
      </fill>
    </dxf>
    <dxf>
      <fill>
        <patternFill>
          <bgColor theme="1" tint="0.14999847407452621"/>
        </patternFill>
      </fill>
    </dxf>
    <dxf>
      <fill>
        <patternFill>
          <bgColor theme="1" tint="0.14999847407452621"/>
        </patternFill>
      </fill>
    </dxf>
    <dxf>
      <fill>
        <patternFill>
          <bgColor theme="1" tint="0.14999847407452621"/>
        </patternFill>
      </fill>
    </dxf>
    <dxf>
      <fill>
        <patternFill>
          <bgColor theme="1" tint="0.14999847407452621"/>
        </patternFill>
      </fill>
    </dxf>
    <dxf>
      <fill>
        <patternFill>
          <bgColor theme="1" tint="0.14999847407452621"/>
        </patternFill>
      </fill>
    </dxf>
    <dxf>
      <font>
        <color theme="0"/>
      </font>
    </dxf>
    <dxf>
      <font>
        <color theme="0"/>
      </font>
    </dxf>
    <dxf>
      <font>
        <color theme="0"/>
      </font>
    </dxf>
    <dxf>
      <font>
        <color theme="0"/>
      </font>
    </dxf>
    <dxf>
      <font>
        <color theme="0"/>
      </font>
    </dxf>
    <dxf>
      <font>
        <color theme="0"/>
      </font>
    </dxf>
    <dxf>
      <fill>
        <patternFill>
          <bgColor rgb="FF5F5F5F"/>
        </patternFill>
      </fill>
    </dxf>
    <dxf>
      <fill>
        <patternFill>
          <bgColor rgb="FF5F5F5F"/>
        </patternFill>
      </fill>
    </dxf>
    <dxf>
      <fill>
        <patternFill>
          <bgColor rgb="FF5F5F5F"/>
        </patternFill>
      </fill>
    </dxf>
    <dxf>
      <fill>
        <patternFill>
          <bgColor rgb="FF5F5F5F"/>
        </patternFill>
      </fill>
    </dxf>
    <dxf>
      <fill>
        <patternFill>
          <bgColor rgb="FF5F5F5F"/>
        </patternFill>
      </fill>
    </dxf>
    <dxf>
      <fill>
        <patternFill>
          <bgColor rgb="FF5F5F5F"/>
        </patternFill>
      </fill>
    </dxf>
    <dxf>
      <numFmt numFmtId="166" formatCode="[&gt;999999999]0.00,,,&quot;B&quot;;[&gt;999999]0.00,,&quot;M&quot;;0"/>
    </dxf>
    <dxf>
      <numFmt numFmtId="166" formatCode="[&gt;999999999]0.00,,,&quot;B&quot;;[&gt;999999]0.00,,&quot;M&quot;;0"/>
    </dxf>
    <dxf>
      <numFmt numFmtId="166" formatCode="[&gt;999999999]0.00,,,&quot;B&quot;;[&gt;999999]0.00,,&quot;M&quot;;0"/>
    </dxf>
    <dxf>
      <numFmt numFmtId="166" formatCode="[&gt;999999999]0.00,,,&quot;B&quot;;[&gt;999999]0.00,,&quot;M&quot;;0"/>
    </dxf>
    <dxf>
      <numFmt numFmtId="166" formatCode="[&gt;999999999]0.00,,,&quot;B&quot;;[&gt;999999]0.00,,&quot;M&quot;;0"/>
      <alignment horizontal="general" vertical="bottom" textRotation="0" wrapText="0" indent="0" justifyLastLine="0" shrinkToFit="0" readingOrder="0"/>
    </dxf>
    <dxf>
      <numFmt numFmtId="166" formatCode="[&gt;999999999]0.00,,,&quot;B&quot;;[&gt;999999]0.00,,&quot;M&quot;;0"/>
      <alignment horizontal="general" vertical="bottom" textRotation="0" wrapText="0" indent="0" justifyLastLine="0" shrinkToFit="0" readingOrder="0"/>
    </dxf>
    <dxf>
      <numFmt numFmtId="166" formatCode="[&gt;999999999]0.00,,,&quot;B&quot;;[&gt;999999]0.00,,&quot;M&quot;;0"/>
    </dxf>
    <dxf>
      <numFmt numFmtId="166" formatCode="[&gt;999999999]0.00,,,&quot;B&quot;;[&gt;999999]0.00,,&quot;M&quot;;0"/>
    </dxf>
    <dxf>
      <numFmt numFmtId="166" formatCode="[&gt;999999999]0.00,,,&quot;B&quot;;[&gt;999999]0.00,,&quot;M&quot;;0"/>
    </dxf>
    <dxf>
      <numFmt numFmtId="166" formatCode="[&gt;999999999]0.00,,,&quot;B&quot;;[&gt;999999]0.00,,&quot;M&quot;;0"/>
    </dxf>
    <dxf>
      <numFmt numFmtId="166" formatCode="[&gt;999999999]0.00,,,&quot;B&quot;;[&gt;999999]0.00,,&quot;M&quot;;0"/>
    </dxf>
    <dxf>
      <numFmt numFmtId="166" formatCode="[&gt;999999999]0.00,,,&quot;B&quot;;[&gt;999999]0.00,,&quot;M&quot;;0"/>
    </dxf>
    <dxf>
      <numFmt numFmtId="166" formatCode="[&gt;999999999]0.00,,,&quot;B&quot;;[&gt;999999]0.00,,&quot;M&quot;;0"/>
    </dxf>
    <dxf>
      <fill>
        <patternFill>
          <bgColor theme="1" tint="0.14999847407452621"/>
        </patternFill>
      </fill>
    </dxf>
    <dxf>
      <fill>
        <patternFill>
          <bgColor theme="1" tint="0.14999847407452621"/>
        </patternFill>
      </fill>
    </dxf>
    <dxf>
      <fill>
        <patternFill>
          <bgColor theme="1" tint="0.14999847407452621"/>
        </patternFill>
      </fill>
    </dxf>
    <dxf>
      <fill>
        <patternFill>
          <bgColor theme="1" tint="0.14999847407452621"/>
        </patternFill>
      </fill>
    </dxf>
    <dxf>
      <fill>
        <patternFill>
          <bgColor theme="1" tint="0.14999847407452621"/>
        </patternFill>
      </fill>
    </dxf>
    <dxf>
      <fill>
        <patternFill>
          <bgColor theme="1" tint="0.14999847407452621"/>
        </patternFill>
      </fill>
    </dxf>
    <dxf>
      <font>
        <color theme="0"/>
      </font>
    </dxf>
    <dxf>
      <font>
        <color theme="0"/>
      </font>
    </dxf>
    <dxf>
      <font>
        <color theme="0"/>
      </font>
    </dxf>
    <dxf>
      <font>
        <color theme="0"/>
      </font>
    </dxf>
    <dxf>
      <font>
        <color theme="0"/>
      </font>
    </dxf>
    <dxf>
      <font>
        <color theme="0"/>
      </font>
    </dxf>
    <dxf>
      <fill>
        <patternFill>
          <bgColor rgb="FF5F5F5F"/>
        </patternFill>
      </fill>
    </dxf>
    <dxf>
      <fill>
        <patternFill>
          <bgColor rgb="FF5F5F5F"/>
        </patternFill>
      </fill>
    </dxf>
    <dxf>
      <fill>
        <patternFill>
          <bgColor rgb="FF5F5F5F"/>
        </patternFill>
      </fill>
    </dxf>
    <dxf>
      <fill>
        <patternFill>
          <bgColor rgb="FF5F5F5F"/>
        </patternFill>
      </fill>
    </dxf>
    <dxf>
      <fill>
        <patternFill>
          <bgColor rgb="FF5F5F5F"/>
        </patternFill>
      </fill>
    </dxf>
    <dxf>
      <fill>
        <patternFill>
          <bgColor rgb="FF5F5F5F"/>
        </patternFill>
      </fill>
    </dxf>
    <dxf>
      <numFmt numFmtId="165" formatCode="#,###"/>
    </dxf>
    <dxf>
      <numFmt numFmtId="165" formatCode="#,###"/>
    </dxf>
    <dxf>
      <numFmt numFmtId="165" formatCode="#,###"/>
    </dxf>
    <dxf>
      <fill>
        <patternFill>
          <bgColor theme="1" tint="0.14999847407452621"/>
        </patternFill>
      </fill>
    </dxf>
    <dxf>
      <fill>
        <patternFill>
          <bgColor theme="1" tint="0.14999847407452621"/>
        </patternFill>
      </fill>
    </dxf>
    <dxf>
      <fill>
        <patternFill>
          <bgColor theme="1" tint="0.14999847407452621"/>
        </patternFill>
      </fill>
    </dxf>
    <dxf>
      <fill>
        <patternFill>
          <bgColor theme="1" tint="0.14999847407452621"/>
        </patternFill>
      </fill>
    </dxf>
    <dxf>
      <fill>
        <patternFill>
          <bgColor theme="1" tint="0.14999847407452621"/>
        </patternFill>
      </fill>
    </dxf>
    <dxf>
      <fill>
        <patternFill>
          <bgColor theme="1" tint="0.14999847407452621"/>
        </patternFill>
      </fill>
    </dxf>
    <dxf>
      <font>
        <color theme="0"/>
      </font>
    </dxf>
    <dxf>
      <font>
        <color theme="0"/>
      </font>
    </dxf>
    <dxf>
      <font>
        <color theme="0"/>
      </font>
    </dxf>
    <dxf>
      <font>
        <color theme="0"/>
      </font>
    </dxf>
    <dxf>
      <font>
        <color theme="0"/>
      </font>
    </dxf>
    <dxf>
      <font>
        <color theme="0"/>
      </font>
    </dxf>
    <dxf>
      <fill>
        <patternFill>
          <bgColor rgb="FF5F5F5F"/>
        </patternFill>
      </fill>
    </dxf>
    <dxf>
      <fill>
        <patternFill>
          <bgColor rgb="FF5F5F5F"/>
        </patternFill>
      </fill>
    </dxf>
    <dxf>
      <fill>
        <patternFill>
          <bgColor rgb="FF5F5F5F"/>
        </patternFill>
      </fill>
    </dxf>
    <dxf>
      <fill>
        <patternFill>
          <bgColor rgb="FF5F5F5F"/>
        </patternFill>
      </fill>
    </dxf>
    <dxf>
      <fill>
        <patternFill>
          <bgColor rgb="FF5F5F5F"/>
        </patternFill>
      </fill>
    </dxf>
    <dxf>
      <fill>
        <patternFill>
          <bgColor rgb="FF5F5F5F"/>
        </patternFill>
      </fill>
    </dxf>
    <dxf>
      <numFmt numFmtId="35" formatCode="_ * #,##0.00_ ;_ * \-#,##0.00_ ;_ * &quot;-&quot;??_ ;_ @_ "/>
    </dxf>
    <dxf>
      <numFmt numFmtId="35" formatCode="_ * #,##0.00_ ;_ * \-#,##0.00_ ;_ * &quot;-&quot;??_ ;_ @_ "/>
    </dxf>
    <dxf>
      <fill>
        <patternFill>
          <bgColor theme="1" tint="0.14999847407452621"/>
        </patternFill>
      </fill>
    </dxf>
    <dxf>
      <fill>
        <patternFill>
          <bgColor theme="1" tint="0.14999847407452621"/>
        </patternFill>
      </fill>
    </dxf>
    <dxf>
      <fill>
        <patternFill>
          <bgColor theme="1" tint="0.14999847407452621"/>
        </patternFill>
      </fill>
    </dxf>
    <dxf>
      <fill>
        <patternFill>
          <bgColor theme="1" tint="0.14999847407452621"/>
        </patternFill>
      </fill>
    </dxf>
    <dxf>
      <fill>
        <patternFill>
          <bgColor theme="1" tint="0.14999847407452621"/>
        </patternFill>
      </fill>
    </dxf>
    <dxf>
      <fill>
        <patternFill>
          <bgColor theme="1" tint="0.14999847407452621"/>
        </patternFill>
      </fill>
    </dxf>
    <dxf>
      <fill>
        <patternFill>
          <bgColor theme="1" tint="0.14999847407452621"/>
        </patternFill>
      </fill>
    </dxf>
    <dxf>
      <fill>
        <patternFill>
          <bgColor theme="1" tint="0.14999847407452621"/>
        </patternFill>
      </fill>
    </dxf>
    <dxf>
      <font>
        <color theme="0"/>
      </font>
    </dxf>
    <dxf>
      <font>
        <color theme="0"/>
      </font>
    </dxf>
    <dxf>
      <font>
        <color theme="0"/>
      </font>
    </dxf>
    <dxf>
      <font>
        <color theme="0"/>
      </font>
    </dxf>
    <dxf>
      <font>
        <color theme="0"/>
      </font>
    </dxf>
    <dxf>
      <font>
        <color theme="0"/>
      </font>
    </dxf>
    <dxf>
      <font>
        <color theme="0"/>
      </font>
    </dxf>
    <dxf>
      <font>
        <color theme="0"/>
      </font>
    </dxf>
    <dxf>
      <fill>
        <patternFill>
          <bgColor rgb="FF5F5F5F"/>
        </patternFill>
      </fill>
    </dxf>
    <dxf>
      <fill>
        <patternFill>
          <bgColor rgb="FF5F5F5F"/>
        </patternFill>
      </fill>
    </dxf>
    <dxf>
      <fill>
        <patternFill>
          <bgColor rgb="FF5F5F5F"/>
        </patternFill>
      </fill>
    </dxf>
    <dxf>
      <fill>
        <patternFill>
          <bgColor rgb="FF5F5F5F"/>
        </patternFill>
      </fill>
    </dxf>
    <dxf>
      <fill>
        <patternFill>
          <bgColor rgb="FF5F5F5F"/>
        </patternFill>
      </fill>
    </dxf>
    <dxf>
      <fill>
        <patternFill>
          <bgColor rgb="FF5F5F5F"/>
        </patternFill>
      </fill>
    </dxf>
    <dxf>
      <fill>
        <patternFill>
          <bgColor rgb="FF5F5F5F"/>
        </patternFill>
      </fill>
    </dxf>
    <dxf>
      <fill>
        <patternFill>
          <bgColor rgb="FF5F5F5F"/>
        </patternFill>
      </fill>
    </dxf>
    <dxf>
      <numFmt numFmtId="35" formatCode="_ * #,##0.00_ ;_ * \-#,##0.00_ ;_ * &quot;-&quot;??_ ;_ @_ "/>
    </dxf>
    <dxf>
      <numFmt numFmtId="35" formatCode="_ * #,##0.00_ ;_ * \-#,##0.00_ ;_ * &quot;-&quot;??_ ;_ @_ "/>
    </dxf>
    <dxf>
      <fill>
        <patternFill>
          <bgColor theme="1" tint="0.14999847407452621"/>
        </patternFill>
      </fill>
    </dxf>
    <dxf>
      <fill>
        <patternFill>
          <bgColor theme="1" tint="0.14999847407452621"/>
        </patternFill>
      </fill>
    </dxf>
    <dxf>
      <fill>
        <patternFill>
          <bgColor theme="1" tint="0.14999847407452621"/>
        </patternFill>
      </fill>
    </dxf>
    <dxf>
      <fill>
        <patternFill>
          <bgColor theme="1" tint="0.14999847407452621"/>
        </patternFill>
      </fill>
    </dxf>
    <dxf>
      <fill>
        <patternFill>
          <bgColor theme="1" tint="0.14999847407452621"/>
        </patternFill>
      </fill>
    </dxf>
    <dxf>
      <fill>
        <patternFill>
          <bgColor theme="1" tint="0.14999847407452621"/>
        </patternFill>
      </fill>
    </dxf>
    <dxf>
      <font>
        <color theme="0"/>
      </font>
    </dxf>
    <dxf>
      <font>
        <color theme="0"/>
      </font>
    </dxf>
    <dxf>
      <font>
        <color theme="0"/>
      </font>
    </dxf>
    <dxf>
      <font>
        <color theme="0"/>
      </font>
    </dxf>
    <dxf>
      <font>
        <color theme="0"/>
      </font>
    </dxf>
    <dxf>
      <font>
        <color theme="0"/>
      </font>
    </dxf>
    <dxf>
      <fill>
        <patternFill>
          <bgColor rgb="FF5F5F5F"/>
        </patternFill>
      </fill>
    </dxf>
    <dxf>
      <fill>
        <patternFill>
          <bgColor rgb="FF5F5F5F"/>
        </patternFill>
      </fill>
    </dxf>
    <dxf>
      <fill>
        <patternFill>
          <bgColor rgb="FF5F5F5F"/>
        </patternFill>
      </fill>
    </dxf>
    <dxf>
      <fill>
        <patternFill>
          <bgColor rgb="FF5F5F5F"/>
        </patternFill>
      </fill>
    </dxf>
    <dxf>
      <fill>
        <patternFill>
          <bgColor rgb="FF5F5F5F"/>
        </patternFill>
      </fill>
    </dxf>
    <dxf>
      <fill>
        <patternFill>
          <bgColor rgb="FF5F5F5F"/>
        </patternFill>
      </fill>
    </dxf>
    <dxf>
      <numFmt numFmtId="165" formatCode="#,###"/>
    </dxf>
    <dxf>
      <numFmt numFmtId="164" formatCode="0.00,,\ &quot;M&quot;"/>
    </dxf>
    <dxf>
      <numFmt numFmtId="164" formatCode="0.00,,\ &quot;M&quot;"/>
    </dxf>
    <dxf>
      <numFmt numFmtId="164" formatCode="0.00,,\ &quot;M&quot;"/>
    </dxf>
    <dxf>
      <numFmt numFmtId="164" formatCode="0.00,,\ &quot;M&quot;"/>
    </dxf>
    <dxf>
      <numFmt numFmtId="164" formatCode="0.00,,\ &quot;M&quot;"/>
    </dxf>
    <dxf>
      <numFmt numFmtId="164" formatCode="0.00,,\ &quot;M&quot;"/>
    </dxf>
    <dxf>
      <numFmt numFmtId="164" formatCode="0.00,,\ &quot;M&quot;"/>
    </dxf>
    <dxf>
      <numFmt numFmtId="164" formatCode="0.00,,\ &quot;M&quot;"/>
    </dxf>
    <dxf>
      <font>
        <color theme="7" tint="-0.24994659260841701"/>
      </font>
      <fill>
        <patternFill>
          <bgColor rgb="FF171717"/>
        </patternFill>
      </fill>
    </dxf>
    <dxf>
      <fill>
        <patternFill>
          <bgColor rgb="FF5F5F5F"/>
        </patternFill>
      </fill>
    </dxf>
  </dxfs>
  <tableStyles count="3" defaultTableStyle="TableStyleMedium2" defaultPivotStyle="PivotStyleLight16">
    <tableStyle name="Slicer Style 1" pivot="0" table="0" count="0" xr9:uid="{D885358E-496B-4C00-BAC7-CD5B4608C4B1}"/>
    <tableStyle name="Slicer Style 2" pivot="0" table="0" count="1" xr9:uid="{9A47F115-FBD9-4504-AD48-5897FE671C2B}">
      <tableStyleElement type="wholeTable" dxfId="126"/>
    </tableStyle>
    <tableStyle name="Slicer Style 3" pivot="0" table="0" count="2" xr9:uid="{36A0CABE-A816-45C6-A7E4-03D1EA41F433}">
      <tableStyleElement type="wholeTable" dxfId="125"/>
    </tableStyle>
  </tableStyles>
  <colors>
    <mruColors>
      <color rgb="FF5F5F5F"/>
      <color rgb="FF171717"/>
      <color rgb="FFCCFFFF"/>
      <color rgb="FF00FFFF"/>
    </mruColors>
  </colors>
  <extLst>
    <ext xmlns:x14="http://schemas.microsoft.com/office/spreadsheetml/2009/9/main" uri="{46F421CA-312F-682f-3DD2-61675219B42D}">
      <x14:dxfs count="1">
        <dxf>
          <fill>
            <patternFill>
              <bgColor theme="2" tint="-9.9948118533890809E-2"/>
            </patternFill>
          </fill>
        </dxf>
      </x14:dxfs>
    </ext>
    <ext xmlns:x14="http://schemas.microsoft.com/office/spreadsheetml/2009/9/main" uri="{EB79DEF2-80B8-43e5-95BD-54CBDDF9020C}">
      <x14:slicerStyles defaultSlicerStyle="SlicerStyleLight1">
        <x14:slicerStyle name="Slicer Style 1"/>
        <x14:slicerStyle name="Slicer Style 2"/>
        <x14:slicerStyle name="Slicer Style 3">
          <x14:slicerStyleElements>
            <x14:slicerStyleElement type="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1.xml"/><Relationship Id="rId11" Type="http://schemas.openxmlformats.org/officeDocument/2006/relationships/calcChain" Target="calcChain.xml"/><Relationship Id="rId5" Type="http://schemas.openxmlformats.org/officeDocument/2006/relationships/pivotCacheDefinition" Target="pivotCache/pivotCacheDefinition1.xml"/><Relationship Id="rId10" Type="http://schemas.microsoft.com/office/2017/10/relationships/person" Target="persons/person.xml"/><Relationship Id="rId4" Type="http://schemas.openxmlformats.org/officeDocument/2006/relationships/worksheet" Target="worksheets/sheet4.xml"/><Relationship Id="rId9" Type="http://schemas.openxmlformats.org/officeDocument/2006/relationships/sharedStrings" Target="sharedStrings.xml"/></Relationships>
</file>

<file path=xl/charts/_rels/chart2.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Ex1.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[Continent Stats(Excel Dashboard).xlsm]pivot tables!PivotTable2</c:name>
    <c:fmtId val="9"/>
  </c:pivotSource>
  <c:chart>
    <c:autoTitleDeleted val="1"/>
    <c:pivotFmts>
      <c:pivotFmt>
        <c:idx val="0"/>
        <c:spPr>
          <a:noFill/>
          <a:ln w="9525" cap="flat" cmpd="sng" algn="ctr">
            <a:solidFill>
              <a:schemeClr val="accent1"/>
            </a:solidFill>
            <a:miter lim="800000"/>
          </a:ln>
          <a:effectLst>
            <a:glow rad="63500">
              <a:schemeClr val="accent1">
                <a:satMod val="175000"/>
                <a:alpha val="25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
        <c:spPr>
          <a:noFill/>
          <a:ln w="9525" cap="flat" cmpd="sng" algn="ctr">
            <a:solidFill>
              <a:schemeClr val="accent1"/>
            </a:solidFill>
            <a:miter lim="800000"/>
          </a:ln>
          <a:effectLst>
            <a:glow rad="63500">
              <a:schemeClr val="accent1">
                <a:satMod val="175000"/>
                <a:alpha val="25000"/>
              </a:schemeClr>
            </a:glow>
          </a:effectLst>
        </c:spPr>
        <c:marker>
          <c:spPr>
            <a:solidFill>
              <a:schemeClr val="accent2">
                <a:lumMod val="60000"/>
                <a:lumOff val="40000"/>
              </a:schemeClr>
            </a:solidFill>
            <a:ln>
              <a:noFill/>
            </a:ln>
            <a:effectLst>
              <a:glow rad="63500">
                <a:schemeClr val="accent2">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2"/>
        <c:spPr>
          <a:noFill/>
          <a:ln w="9525" cap="flat" cmpd="sng" algn="ctr">
            <a:solidFill>
              <a:schemeClr val="accent1"/>
            </a:solidFill>
            <a:miter lim="800000"/>
          </a:ln>
          <a:effectLst>
            <a:glow rad="63500">
              <a:schemeClr val="accent1">
                <a:satMod val="175000"/>
                <a:alpha val="25000"/>
              </a:schemeClr>
            </a:glow>
          </a:effectLst>
        </c:spPr>
        <c:marker>
          <c:spPr>
            <a:solidFill>
              <a:schemeClr val="accent3">
                <a:lumMod val="60000"/>
                <a:lumOff val="40000"/>
              </a:schemeClr>
            </a:solidFill>
            <a:ln>
              <a:noFill/>
            </a:ln>
            <a:effectLst>
              <a:glow rad="63500">
                <a:schemeClr val="accent3">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3"/>
        <c:spPr>
          <a:noFill/>
          <a:ln w="9525" cap="flat" cmpd="sng" algn="ctr">
            <a:solidFill>
              <a:schemeClr val="accent1"/>
            </a:solidFill>
            <a:miter lim="800000"/>
          </a:ln>
          <a:effectLst>
            <a:glow rad="63500">
              <a:schemeClr val="accent1">
                <a:satMod val="175000"/>
                <a:alpha val="25000"/>
              </a:schemeClr>
            </a:glow>
          </a:effectLst>
        </c:spPr>
        <c:marker>
          <c:spPr>
            <a:solidFill>
              <a:schemeClr val="accent4">
                <a:lumMod val="60000"/>
                <a:lumOff val="40000"/>
              </a:schemeClr>
            </a:solidFill>
            <a:ln>
              <a:noFill/>
            </a:ln>
            <a:effectLst>
              <a:glow rad="63500">
                <a:schemeClr val="accent4">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4"/>
        <c:spPr>
          <a:noFill/>
          <a:ln w="9525" cap="flat" cmpd="sng" algn="ctr">
            <a:solidFill>
              <a:schemeClr val="accent1"/>
            </a:solidFill>
            <a:miter lim="800000"/>
          </a:ln>
          <a:effectLst>
            <a:glow rad="63500">
              <a:schemeClr val="accent1">
                <a:satMod val="175000"/>
                <a:alpha val="25000"/>
              </a:schemeClr>
            </a:glow>
          </a:effectLst>
        </c:spPr>
        <c:marker>
          <c:spPr>
            <a:solidFill>
              <a:schemeClr val="accent5">
                <a:lumMod val="60000"/>
                <a:lumOff val="40000"/>
              </a:schemeClr>
            </a:solidFill>
            <a:ln>
              <a:noFill/>
            </a:ln>
            <a:effectLst>
              <a:glow rad="63500">
                <a:schemeClr val="accent5">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5"/>
        <c:spPr>
          <a:noFill/>
          <a:ln w="9525" cap="flat" cmpd="sng" algn="ctr">
            <a:solidFill>
              <a:schemeClr val="accent1"/>
            </a:solidFill>
            <a:miter lim="800000"/>
          </a:ln>
          <a:effectLst>
            <a:glow rad="63500">
              <a:schemeClr val="accent1">
                <a:satMod val="175000"/>
                <a:alpha val="25000"/>
              </a:schemeClr>
            </a:glow>
          </a:effectLst>
        </c:spPr>
        <c:marker>
          <c:spPr>
            <a:solidFill>
              <a:schemeClr val="accent6">
                <a:lumMod val="60000"/>
                <a:lumOff val="40000"/>
              </a:schemeClr>
            </a:solidFill>
            <a:ln>
              <a:noFill/>
            </a:ln>
            <a:effectLst>
              <a:glow rad="63500">
                <a:schemeClr val="accent6">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6"/>
        <c:spPr>
          <a:noFill/>
          <a:ln w="9525" cap="flat" cmpd="sng" algn="ctr">
            <a:solidFill>
              <a:schemeClr val="accent1"/>
            </a:solidFill>
            <a:miter lim="800000"/>
          </a:ln>
          <a:effectLst>
            <a:glow rad="63500">
              <a:schemeClr val="accent1">
                <a:satMod val="175000"/>
                <a:alpha val="25000"/>
              </a:schemeClr>
            </a:glow>
          </a:effectLst>
        </c:spPr>
        <c:marker>
          <c:spPr>
            <a:solidFill>
              <a:schemeClr val="accent1">
                <a:lumMod val="60000"/>
                <a:lumMod val="60000"/>
                <a:lumOff val="40000"/>
              </a:schemeClr>
            </a:solidFill>
            <a:ln>
              <a:noFill/>
            </a:ln>
            <a:effectLst>
              <a:glow rad="63500">
                <a:schemeClr val="accent1">
                  <a:lumMod val="60000"/>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7"/>
        <c:spPr>
          <a:noFill/>
          <a:ln w="9525" cap="flat" cmpd="sng" algn="ctr">
            <a:solidFill>
              <a:schemeClr val="accent1"/>
            </a:solidFill>
            <a:miter lim="800000"/>
          </a:ln>
          <a:effectLst>
            <a:glow rad="63500">
              <a:schemeClr val="accent1">
                <a:satMod val="175000"/>
                <a:alpha val="25000"/>
              </a:schemeClr>
            </a:glow>
          </a:effectLst>
        </c:spPr>
        <c:marker>
          <c:spPr>
            <a:solidFill>
              <a:schemeClr val="accent2">
                <a:lumMod val="60000"/>
                <a:lumMod val="60000"/>
                <a:lumOff val="40000"/>
              </a:schemeClr>
            </a:solidFill>
            <a:ln>
              <a:noFill/>
            </a:ln>
            <a:effectLst>
              <a:glow rad="63500">
                <a:schemeClr val="accent2">
                  <a:lumMod val="60000"/>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8"/>
        <c:spPr>
          <a:noFill/>
          <a:ln w="9525" cap="flat" cmpd="sng" algn="ctr">
            <a:solidFill>
              <a:schemeClr val="accent1"/>
            </a:solidFill>
            <a:miter lim="800000"/>
          </a:ln>
          <a:effectLst>
            <a:glow rad="63500">
              <a:schemeClr val="accent1">
                <a:satMod val="175000"/>
                <a:alpha val="25000"/>
              </a:schemeClr>
            </a:glow>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9"/>
        <c:spPr>
          <a:noFill/>
          <a:ln w="9525" cap="flat" cmpd="sng" algn="ctr">
            <a:solidFill>
              <a:schemeClr val="accent1"/>
            </a:solidFill>
            <a:miter lim="800000"/>
          </a:ln>
          <a:effectLst>
            <a:glow rad="63500">
              <a:schemeClr val="accent1">
                <a:satMod val="175000"/>
                <a:alpha val="25000"/>
              </a:schemeClr>
            </a:glow>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0"/>
        <c:spPr>
          <a:noFill/>
          <a:ln w="9525" cap="flat" cmpd="sng" algn="ctr">
            <a:solidFill>
              <a:schemeClr val="accent1"/>
            </a:solidFill>
            <a:miter lim="800000"/>
          </a:ln>
          <a:effectLst>
            <a:glow rad="63500">
              <a:schemeClr val="accent1">
                <a:satMod val="175000"/>
                <a:alpha val="25000"/>
              </a:schemeClr>
            </a:glow>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1"/>
        <c:spPr>
          <a:noFill/>
          <a:ln w="9525" cap="flat" cmpd="sng" algn="ctr">
            <a:solidFill>
              <a:schemeClr val="accent1"/>
            </a:solidFill>
            <a:miter lim="800000"/>
          </a:ln>
          <a:effectLst>
            <a:glow rad="63500">
              <a:schemeClr val="accent1">
                <a:satMod val="175000"/>
                <a:alpha val="25000"/>
              </a:schemeClr>
            </a:glow>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2"/>
        <c:spPr>
          <a:noFill/>
          <a:ln w="9525" cap="flat" cmpd="sng" algn="ctr">
            <a:solidFill>
              <a:schemeClr val="accent1"/>
            </a:solidFill>
            <a:miter lim="800000"/>
          </a:ln>
          <a:effectLst>
            <a:glow rad="63500">
              <a:schemeClr val="accent1">
                <a:satMod val="175000"/>
                <a:alpha val="25000"/>
              </a:schemeClr>
            </a:glow>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3"/>
        <c:spPr>
          <a:noFill/>
          <a:ln w="9525" cap="flat" cmpd="sng" algn="ctr">
            <a:solidFill>
              <a:schemeClr val="accent1"/>
            </a:solidFill>
            <a:miter lim="800000"/>
          </a:ln>
          <a:effectLst>
            <a:glow rad="63500">
              <a:schemeClr val="accent1">
                <a:satMod val="175000"/>
                <a:alpha val="25000"/>
              </a:schemeClr>
            </a:glow>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4"/>
        <c:spPr>
          <a:noFill/>
          <a:ln w="9525" cap="flat" cmpd="sng" algn="ctr">
            <a:solidFill>
              <a:schemeClr val="accent1"/>
            </a:solidFill>
            <a:miter lim="800000"/>
          </a:ln>
          <a:effectLst>
            <a:glow rad="63500">
              <a:schemeClr val="accent1">
                <a:satMod val="175000"/>
                <a:alpha val="25000"/>
              </a:schemeClr>
            </a:glow>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5"/>
        <c:spPr>
          <a:noFill/>
          <a:ln w="9525" cap="flat" cmpd="sng" algn="ctr">
            <a:solidFill>
              <a:schemeClr val="accent1"/>
            </a:solidFill>
            <a:miter lim="800000"/>
          </a:ln>
          <a:effectLst>
            <a:glow rad="63500">
              <a:schemeClr val="accent1">
                <a:satMod val="175000"/>
                <a:alpha val="25000"/>
              </a:schemeClr>
            </a:glow>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6"/>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540000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7"/>
        <c:spPr>
          <a:noFill/>
          <a:ln w="9525" cap="flat" cmpd="sng" algn="ctr">
            <a:solidFill>
              <a:schemeClr val="accent2"/>
            </a:solidFill>
            <a:miter lim="800000"/>
          </a:ln>
          <a:effectLst>
            <a:glow rad="63500">
              <a:schemeClr val="accent2">
                <a:satMod val="175000"/>
                <a:alpha val="25000"/>
              </a:schemeClr>
            </a:glow>
          </a:effectLst>
        </c:spPr>
        <c:marker>
          <c:symbol val="none"/>
        </c:marker>
        <c:dLbl>
          <c:idx val="0"/>
          <c:spPr>
            <a:noFill/>
            <a:ln>
              <a:noFill/>
            </a:ln>
            <a:effectLst/>
          </c:spPr>
          <c:txPr>
            <a:bodyPr rot="-540000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8"/>
        <c:spPr>
          <a:noFill/>
          <a:ln w="9525" cap="flat" cmpd="sng" algn="ctr">
            <a:solidFill>
              <a:schemeClr val="accent3"/>
            </a:solidFill>
            <a:miter lim="800000"/>
          </a:ln>
          <a:effectLst>
            <a:glow rad="63500">
              <a:schemeClr val="accent3">
                <a:satMod val="175000"/>
                <a:alpha val="25000"/>
              </a:schemeClr>
            </a:glow>
          </a:effectLst>
        </c:spPr>
        <c:marker>
          <c:symbol val="none"/>
        </c:marker>
        <c:dLbl>
          <c:idx val="0"/>
          <c:spPr>
            <a:noFill/>
            <a:ln>
              <a:noFill/>
            </a:ln>
            <a:effectLst/>
          </c:spPr>
          <c:txPr>
            <a:bodyPr rot="-540000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9"/>
        <c:spPr>
          <a:noFill/>
          <a:ln w="9525" cap="flat" cmpd="sng" algn="ctr">
            <a:solidFill>
              <a:schemeClr val="accent4"/>
            </a:solidFill>
            <a:miter lim="800000"/>
          </a:ln>
          <a:effectLst>
            <a:glow rad="63500">
              <a:schemeClr val="accent4">
                <a:satMod val="175000"/>
                <a:alpha val="25000"/>
              </a:schemeClr>
            </a:glow>
          </a:effectLst>
        </c:spPr>
        <c:marker>
          <c:symbol val="none"/>
        </c:marker>
        <c:dLbl>
          <c:idx val="0"/>
          <c:spPr>
            <a:noFill/>
            <a:ln>
              <a:noFill/>
            </a:ln>
            <a:effectLst/>
          </c:spPr>
          <c:txPr>
            <a:bodyPr rot="-540000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0"/>
        <c:spPr>
          <a:noFill/>
          <a:ln w="9525" cap="flat" cmpd="sng" algn="ctr">
            <a:solidFill>
              <a:schemeClr val="accent5"/>
            </a:solidFill>
            <a:miter lim="800000"/>
          </a:ln>
          <a:effectLst>
            <a:glow rad="63500">
              <a:schemeClr val="accent5">
                <a:satMod val="175000"/>
                <a:alpha val="25000"/>
              </a:schemeClr>
            </a:glow>
          </a:effectLst>
        </c:spPr>
        <c:marker>
          <c:symbol val="none"/>
        </c:marker>
        <c:dLbl>
          <c:idx val="0"/>
          <c:spPr>
            <a:noFill/>
            <a:ln>
              <a:noFill/>
            </a:ln>
            <a:effectLst/>
          </c:spPr>
          <c:txPr>
            <a:bodyPr rot="-540000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1"/>
        <c:spPr>
          <a:noFill/>
          <a:ln w="9525" cap="flat" cmpd="sng" algn="ctr">
            <a:solidFill>
              <a:schemeClr val="accent6"/>
            </a:solidFill>
            <a:miter lim="800000"/>
          </a:ln>
          <a:effectLst>
            <a:glow rad="63500">
              <a:schemeClr val="accent6">
                <a:satMod val="175000"/>
                <a:alpha val="25000"/>
              </a:schemeClr>
            </a:glow>
          </a:effectLst>
        </c:spPr>
        <c:marker>
          <c:symbol val="none"/>
        </c:marker>
        <c:dLbl>
          <c:idx val="0"/>
          <c:spPr>
            <a:noFill/>
            <a:ln>
              <a:noFill/>
            </a:ln>
            <a:effectLst/>
          </c:spPr>
          <c:txPr>
            <a:bodyPr rot="-5400000" spcFirstLastPara="1" vertOverflow="ellipsis" vert="horz" wrap="square" lIns="324000" tIns="19050" rIns="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
        <c:idx val="22"/>
        <c:marker>
          <c:symbol val="none"/>
        </c:marker>
        <c:dLbl>
          <c:idx val="0"/>
          <c:spPr>
            <a:noFill/>
            <a:ln>
              <a:noFill/>
            </a:ln>
            <a:effectLst/>
          </c:spPr>
          <c:txPr>
            <a:bodyPr wrap="square" lIns="38100" tIns="19050" rIns="38100" bIns="19050" anchor="ctr">
              <a:spAutoFit/>
            </a:bodyPr>
            <a:lstStyle/>
            <a:p>
              <a:pPr>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3"/>
        <c:marker>
          <c:symbol val="none"/>
        </c:marker>
        <c:dLbl>
          <c:idx val="0"/>
          <c:spPr>
            <a:noFill/>
            <a:ln>
              <a:noFill/>
            </a:ln>
            <a:effectLst/>
          </c:spPr>
          <c:txPr>
            <a:bodyPr wrap="square" lIns="38100" tIns="19050" rIns="38100" bIns="19050" anchor="ctr">
              <a:spAutoFit/>
            </a:bodyPr>
            <a:lstStyle/>
            <a:p>
              <a:pPr>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4"/>
        <c:spPr>
          <a:noFill/>
          <a:ln w="9525" cap="flat" cmpd="sng" algn="ctr">
            <a:solidFill>
              <a:schemeClr val="accent2"/>
            </a:solidFill>
            <a:miter lim="800000"/>
          </a:ln>
          <a:effectLst>
            <a:glow rad="63500">
              <a:schemeClr val="accent2">
                <a:satMod val="175000"/>
                <a:alpha val="25000"/>
              </a:schemeClr>
            </a:glow>
          </a:effectLst>
        </c:spPr>
        <c:dLbl>
          <c:idx val="0"/>
          <c:layout>
            <c:manualLayout>
              <c:x val="5.3124160784664767E-3"/>
              <c:y val="0.3855746954637172"/>
            </c:manualLayout>
          </c:layout>
          <c:spPr>
            <a:noFill/>
            <a:ln>
              <a:noFill/>
            </a:ln>
            <a:effectLst/>
          </c:spPr>
          <c:txPr>
            <a:bodyPr rot="-540000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5"/>
      </c:pivotFmt>
      <c:pivotFmt>
        <c:idx val="26"/>
        <c:spPr>
          <a:noFill/>
          <a:ln w="9525" cap="flat" cmpd="sng" algn="ctr">
            <a:solidFill>
              <a:schemeClr val="accent6"/>
            </a:solidFill>
            <a:miter lim="800000"/>
          </a:ln>
          <a:effectLst>
            <a:glow rad="63500">
              <a:schemeClr val="accent6">
                <a:satMod val="175000"/>
                <a:alpha val="25000"/>
              </a:schemeClr>
            </a:glow>
          </a:effectLst>
        </c:spPr>
        <c:dLbl>
          <c:idx val="0"/>
          <c:layout>
            <c:manualLayout>
              <c:x val="0"/>
              <c:y val="8.7728791391986471E-2"/>
            </c:manualLayout>
          </c:layout>
          <c:spPr>
            <a:noFill/>
            <a:ln>
              <a:noFill/>
            </a:ln>
            <a:effectLst/>
          </c:spPr>
          <c:txPr>
            <a:bodyPr rot="-5400000" spcFirstLastPara="1" vertOverflow="ellipsis" vert="horz" wrap="square" lIns="0" tIns="19050" rIns="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
        <c:idx val="27"/>
        <c:spPr>
          <a:noFill/>
          <a:ln w="9525" cap="flat" cmpd="sng" algn="ctr">
            <a:solidFill>
              <a:schemeClr val="accent6"/>
            </a:solidFill>
            <a:miter lim="800000"/>
          </a:ln>
          <a:effectLst>
            <a:glow rad="63500">
              <a:schemeClr val="accent6">
                <a:satMod val="175000"/>
                <a:alpha val="25000"/>
              </a:schemeClr>
            </a:glow>
          </a:effectLst>
        </c:spPr>
        <c:dLbl>
          <c:idx val="0"/>
          <c:layout>
            <c:manualLayout>
              <c:x val="-2.6429926668399524E-3"/>
              <c:y val="0.39477956126393932"/>
            </c:manualLayout>
          </c:layout>
          <c:spPr>
            <a:noFill/>
            <a:ln>
              <a:noFill/>
            </a:ln>
            <a:effectLst/>
          </c:spPr>
          <c:txPr>
            <a:bodyPr rot="-5400000" spcFirstLastPara="1" vertOverflow="ellipsis" vert="horz" wrap="square" lIns="324000" tIns="19050" rIns="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
        <c:idx val="28"/>
        <c:spPr>
          <a:noFill/>
          <a:ln w="9525" cap="flat" cmpd="sng" algn="ctr">
            <a:solidFill>
              <a:schemeClr val="accent6"/>
            </a:solidFill>
            <a:miter lim="800000"/>
          </a:ln>
          <a:effectLst>
            <a:glow rad="63500">
              <a:schemeClr val="accent6">
                <a:satMod val="175000"/>
                <a:alpha val="25000"/>
              </a:schemeClr>
            </a:glow>
          </a:effectLst>
        </c:spPr>
        <c:dLbl>
          <c:idx val="0"/>
          <c:layout>
            <c:manualLayout>
              <c:x val="-2.6429926668399524E-3"/>
              <c:y val="0.44351777870393183"/>
            </c:manualLayout>
          </c:layout>
          <c:spPr>
            <a:noFill/>
            <a:ln>
              <a:noFill/>
            </a:ln>
            <a:effectLst/>
          </c:spPr>
          <c:txPr>
            <a:bodyPr rot="-5400000" spcFirstLastPara="1" vertOverflow="ellipsis" vert="horz" wrap="square" lIns="324000" tIns="19050" rIns="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
        <c:idx val="29"/>
        <c:spPr>
          <a:noFill/>
          <a:ln w="9525" cap="flat" cmpd="sng" algn="ctr">
            <a:solidFill>
              <a:schemeClr val="accent6"/>
            </a:solidFill>
            <a:miter lim="800000"/>
          </a:ln>
          <a:effectLst>
            <a:glow rad="63500">
              <a:schemeClr val="accent6">
                <a:satMod val="175000"/>
                <a:alpha val="25000"/>
              </a:schemeClr>
            </a:glow>
          </a:effectLst>
        </c:spPr>
        <c:dLbl>
          <c:idx val="0"/>
          <c:layout>
            <c:manualLayout>
              <c:x val="-2.6429926668399524E-3"/>
              <c:y val="0.38503191777594081"/>
            </c:manualLayout>
          </c:layout>
          <c:spPr>
            <a:noFill/>
            <a:ln>
              <a:noFill/>
            </a:ln>
            <a:effectLst/>
          </c:spPr>
          <c:txPr>
            <a:bodyPr rot="-5400000" spcFirstLastPara="1" vertOverflow="ellipsis" vert="horz" wrap="square" lIns="324000" tIns="19050" rIns="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
        <c:idx val="30"/>
        <c:spPr>
          <a:noFill/>
          <a:ln w="9525" cap="flat" cmpd="sng" algn="ctr">
            <a:solidFill>
              <a:schemeClr val="accent6"/>
            </a:solidFill>
            <a:miter lim="800000"/>
          </a:ln>
          <a:effectLst>
            <a:glow rad="63500">
              <a:schemeClr val="accent6">
                <a:satMod val="175000"/>
                <a:alpha val="25000"/>
              </a:schemeClr>
            </a:glow>
          </a:effectLst>
        </c:spPr>
        <c:dLbl>
          <c:idx val="0"/>
          <c:layout>
            <c:manualLayout>
              <c:x val="2.6429926668399524E-3"/>
              <c:y val="0.3606628090559445"/>
            </c:manualLayout>
          </c:layout>
          <c:spPr>
            <a:noFill/>
            <a:ln>
              <a:noFill/>
            </a:ln>
            <a:effectLst/>
          </c:spPr>
          <c:txPr>
            <a:bodyPr rot="-5400000" spcFirstLastPara="1" vertOverflow="ellipsis" vert="horz" wrap="square" lIns="324000" tIns="19050" rIns="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s>
    <c:plotArea>
      <c:layout>
        <c:manualLayout>
          <c:layoutTarget val="inner"/>
          <c:xMode val="edge"/>
          <c:yMode val="edge"/>
          <c:x val="3.4067967365908183E-2"/>
          <c:y val="5.6136448588088382E-2"/>
          <c:w val="0.95784405074365719"/>
          <c:h val="0.85100320793234174"/>
        </c:manualLayout>
      </c:layout>
      <c:barChart>
        <c:barDir val="col"/>
        <c:grouping val="clustered"/>
        <c:varyColors val="0"/>
        <c:ser>
          <c:idx val="0"/>
          <c:order val="0"/>
          <c:tx>
            <c:strRef>
              <c:f>'pivot tables'!$C$2</c:f>
              <c:strCache>
                <c:ptCount val="1"/>
                <c:pt idx="0">
                  <c:v>Sum of 2022 Population</c:v>
                </c:pt>
              </c:strCache>
            </c:strRef>
          </c:tx>
          <c:spPr>
            <a:noFill/>
            <a:ln w="9525" cap="flat" cmpd="sng" algn="ctr">
              <a:solidFill>
                <a:schemeClr val="accent1"/>
              </a:solidFill>
              <a:miter lim="800000"/>
            </a:ln>
            <a:effectLst>
              <a:glow rad="63500">
                <a:schemeClr val="accent1">
                  <a:satMod val="175000"/>
                  <a:alpha val="25000"/>
                </a:schemeClr>
              </a:glow>
            </a:effectLst>
          </c:spPr>
          <c:invertIfNegative val="0"/>
          <c:dPt>
            <c:idx val="0"/>
            <c:invertIfNegative val="0"/>
            <c:bubble3D val="0"/>
            <c:spPr/>
            <c:extLst>
              <c:ext xmlns:c16="http://schemas.microsoft.com/office/drawing/2014/chart" uri="{C3380CC4-5D6E-409C-BE32-E72D297353CC}">
                <c16:uniqueId val="{00000000-56C6-471A-95A6-C182AAEE9862}"/>
              </c:ext>
            </c:extLst>
          </c:dPt>
          <c:dPt>
            <c:idx val="1"/>
            <c:invertIfNegative val="0"/>
            <c:bubble3D val="0"/>
            <c:spPr/>
            <c:extLst>
              <c:ext xmlns:c16="http://schemas.microsoft.com/office/drawing/2014/chart" uri="{C3380CC4-5D6E-409C-BE32-E72D297353CC}">
                <c16:uniqueId val="{00000001-56C6-471A-95A6-C182AAEE9862}"/>
              </c:ext>
            </c:extLst>
          </c:dPt>
          <c:dPt>
            <c:idx val="2"/>
            <c:invertIfNegative val="0"/>
            <c:bubble3D val="0"/>
            <c:spPr>
              <a:noFill/>
              <a:ln w="9525" cap="flat" cmpd="sng" algn="ctr">
                <a:solidFill>
                  <a:schemeClr val="accent2"/>
                </a:solidFill>
                <a:miter lim="800000"/>
              </a:ln>
              <a:effectLst>
                <a:glow rad="63500">
                  <a:schemeClr val="accent2">
                    <a:satMod val="175000"/>
                    <a:alpha val="25000"/>
                  </a:schemeClr>
                </a:glow>
              </a:effectLst>
            </c:spPr>
            <c:extLst>
              <c:ext xmlns:c16="http://schemas.microsoft.com/office/drawing/2014/chart" uri="{C3380CC4-5D6E-409C-BE32-E72D297353CC}">
                <c16:uniqueId val="{00000002-56C6-471A-95A6-C182AAEE9862}"/>
              </c:ext>
            </c:extLst>
          </c:dPt>
          <c:dPt>
            <c:idx val="4"/>
            <c:invertIfNegative val="0"/>
            <c:bubble3D val="0"/>
            <c:extLst>
              <c:ext xmlns:c16="http://schemas.microsoft.com/office/drawing/2014/chart" uri="{C3380CC4-5D6E-409C-BE32-E72D297353CC}">
                <c16:uniqueId val="{00000003-56C6-471A-95A6-C182AAEE9862}"/>
              </c:ext>
            </c:extLst>
          </c:dPt>
          <c:dPt>
            <c:idx val="5"/>
            <c:invertIfNegative val="0"/>
            <c:bubble3D val="0"/>
            <c:extLst>
              <c:ext xmlns:c16="http://schemas.microsoft.com/office/drawing/2014/chart" uri="{C3380CC4-5D6E-409C-BE32-E72D297353CC}">
                <c16:uniqueId val="{00000004-56C6-471A-95A6-C182AAEE9862}"/>
              </c:ext>
            </c:extLst>
          </c:dPt>
          <c:dLbls>
            <c:dLbl>
              <c:idx val="0"/>
              <c:spPr>
                <a:noFill/>
                <a:ln>
                  <a:noFill/>
                </a:ln>
                <a:effectLst/>
              </c:spPr>
              <c:txPr>
                <a:bodyPr wrap="square" lIns="38100" tIns="19050" rIns="38100" bIns="19050" anchor="ctr">
                  <a:spAutoFit/>
                </a:bodyPr>
                <a:lstStyle/>
                <a:p>
                  <a:pPr>
                    <a:defRPr/>
                  </a:pPr>
                  <a:endParaRPr lang="en-US"/>
                </a:p>
              </c:txPr>
              <c:dLblPos val="ctr"/>
              <c:showLegendKey val="0"/>
              <c:showVal val="1"/>
              <c:showCatName val="0"/>
              <c:showSerName val="0"/>
              <c:showPercent val="0"/>
              <c:showBubbleSize val="0"/>
              <c:extLst>
                <c:ext xmlns:c16="http://schemas.microsoft.com/office/drawing/2014/chart" uri="{C3380CC4-5D6E-409C-BE32-E72D297353CC}">
                  <c16:uniqueId val="{00000000-56C6-471A-95A6-C182AAEE9862}"/>
                </c:ext>
              </c:extLst>
            </c:dLbl>
            <c:dLbl>
              <c:idx val="1"/>
              <c:spPr>
                <a:noFill/>
                <a:ln>
                  <a:noFill/>
                </a:ln>
                <a:effectLst/>
              </c:spPr>
              <c:txPr>
                <a:bodyPr wrap="square" lIns="38100" tIns="19050" rIns="38100" bIns="19050" anchor="ctr">
                  <a:spAutoFit/>
                </a:bodyPr>
                <a:lstStyle/>
                <a:p>
                  <a:pPr>
                    <a:defRPr/>
                  </a:pPr>
                  <a:endParaRPr lang="en-US"/>
                </a:p>
              </c:txPr>
              <c:dLblPos val="ctr"/>
              <c:showLegendKey val="0"/>
              <c:showVal val="1"/>
              <c:showCatName val="0"/>
              <c:showSerName val="0"/>
              <c:showPercent val="0"/>
              <c:showBubbleSize val="0"/>
              <c:extLst>
                <c:ext xmlns:c16="http://schemas.microsoft.com/office/drawing/2014/chart" uri="{C3380CC4-5D6E-409C-BE32-E72D297353CC}">
                  <c16:uniqueId val="{00000001-56C6-471A-95A6-C182AAEE9862}"/>
                </c:ext>
              </c:extLst>
            </c:dLbl>
            <c:dLbl>
              <c:idx val="2"/>
              <c:layout>
                <c:manualLayout>
                  <c:x val="5.3124160784664767E-3"/>
                  <c:y val="0.385574695463717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56C6-471A-95A6-C182AAEE9862}"/>
                </c:ext>
              </c:extLst>
            </c:dLbl>
            <c:spPr>
              <a:noFill/>
              <a:ln>
                <a:noFill/>
              </a:ln>
              <a:effectLst/>
            </c:spPr>
            <c:txPr>
              <a:bodyPr rot="-540000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'pivot tables'!$B$3:$B$7</c:f>
              <c:strCache>
                <c:ptCount val="4"/>
                <c:pt idx="0">
                  <c:v>Africa</c:v>
                </c:pt>
                <c:pt idx="1">
                  <c:v>Asia</c:v>
                </c:pt>
                <c:pt idx="2">
                  <c:v>Europe</c:v>
                </c:pt>
                <c:pt idx="3">
                  <c:v>North America</c:v>
                </c:pt>
              </c:strCache>
            </c:strRef>
          </c:cat>
          <c:val>
            <c:numRef>
              <c:f>'pivot tables'!$C$3:$C$7</c:f>
              <c:numCache>
                <c:formatCode>[&gt;999999999]0.00,,,"B";[&gt;999999]0.00,,"M";0</c:formatCode>
                <c:ptCount val="4"/>
                <c:pt idx="0">
                  <c:v>1426730932</c:v>
                </c:pt>
                <c:pt idx="1">
                  <c:v>4721383274</c:v>
                </c:pt>
                <c:pt idx="2">
                  <c:v>743147538</c:v>
                </c:pt>
                <c:pt idx="3">
                  <c:v>600296136</c:v>
                </c:pt>
              </c:numCache>
            </c:numRef>
          </c:val>
          <c:extLst>
            <c:ext xmlns:c16="http://schemas.microsoft.com/office/drawing/2014/chart" uri="{C3380CC4-5D6E-409C-BE32-E72D297353CC}">
              <c16:uniqueId val="{00000000-615B-4971-8E2A-5957CE9A6D42}"/>
            </c:ext>
          </c:extLst>
        </c:ser>
        <c:ser>
          <c:idx val="1"/>
          <c:order val="1"/>
          <c:tx>
            <c:strRef>
              <c:f>'pivot tables'!$D$2</c:f>
              <c:strCache>
                <c:ptCount val="1"/>
                <c:pt idx="0">
                  <c:v>Sum of 2020 Population</c:v>
                </c:pt>
              </c:strCache>
            </c:strRef>
          </c:tx>
          <c:spPr>
            <a:noFill/>
            <a:ln w="9525" cap="flat" cmpd="sng" algn="ctr">
              <a:solidFill>
                <a:schemeClr val="accent2"/>
              </a:solidFill>
              <a:miter lim="800000"/>
            </a:ln>
            <a:effectLst>
              <a:glow rad="63500">
                <a:schemeClr val="accent2">
                  <a:satMod val="175000"/>
                  <a:alpha val="25000"/>
                </a:schemeClr>
              </a:glow>
            </a:effectLst>
          </c:spPr>
          <c:invertIfNegative val="0"/>
          <c:dPt>
            <c:idx val="4"/>
            <c:invertIfNegative val="0"/>
            <c:bubble3D val="0"/>
            <c:extLst>
              <c:ext xmlns:c16="http://schemas.microsoft.com/office/drawing/2014/chart" uri="{C3380CC4-5D6E-409C-BE32-E72D297353CC}">
                <c16:uniqueId val="{00000009-615B-4971-8E2A-5957CE9A6D42}"/>
              </c:ext>
            </c:extLst>
          </c:dPt>
          <c:dLbls>
            <c:spPr>
              <a:noFill/>
              <a:ln>
                <a:noFill/>
              </a:ln>
              <a:effectLst/>
            </c:spPr>
            <c:txPr>
              <a:bodyPr rot="-540000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'pivot tables'!$B$3:$B$7</c:f>
              <c:strCache>
                <c:ptCount val="4"/>
                <c:pt idx="0">
                  <c:v>Africa</c:v>
                </c:pt>
                <c:pt idx="1">
                  <c:v>Asia</c:v>
                </c:pt>
                <c:pt idx="2">
                  <c:v>Europe</c:v>
                </c:pt>
                <c:pt idx="3">
                  <c:v>North America</c:v>
                </c:pt>
              </c:strCache>
            </c:strRef>
          </c:cat>
          <c:val>
            <c:numRef>
              <c:f>'pivot tables'!$D$3:$D$7</c:f>
              <c:numCache>
                <c:formatCode>[&gt;999999999]0.00,,,"B";[&gt;999999]0.00,,"M";0</c:formatCode>
                <c:ptCount val="4"/>
                <c:pt idx="0">
                  <c:v>1360671810</c:v>
                </c:pt>
                <c:pt idx="1">
                  <c:v>4663086535</c:v>
                </c:pt>
                <c:pt idx="2">
                  <c:v>745792196</c:v>
                </c:pt>
                <c:pt idx="3">
                  <c:v>594236593</c:v>
                </c:pt>
              </c:numCache>
            </c:numRef>
          </c:val>
          <c:extLst>
            <c:ext xmlns:c16="http://schemas.microsoft.com/office/drawing/2014/chart" uri="{C3380CC4-5D6E-409C-BE32-E72D297353CC}">
              <c16:uniqueId val="{00000001-615B-4971-8E2A-5957CE9A6D42}"/>
            </c:ext>
          </c:extLst>
        </c:ser>
        <c:ser>
          <c:idx val="2"/>
          <c:order val="2"/>
          <c:tx>
            <c:strRef>
              <c:f>'pivot tables'!$E$2</c:f>
              <c:strCache>
                <c:ptCount val="1"/>
                <c:pt idx="0">
                  <c:v>Sum of 2015 Population</c:v>
                </c:pt>
              </c:strCache>
            </c:strRef>
          </c:tx>
          <c:spPr>
            <a:noFill/>
            <a:ln w="9525" cap="flat" cmpd="sng" algn="ctr">
              <a:solidFill>
                <a:schemeClr val="accent3"/>
              </a:solidFill>
              <a:miter lim="800000"/>
            </a:ln>
            <a:effectLst>
              <a:glow rad="63500">
                <a:schemeClr val="accent3">
                  <a:satMod val="175000"/>
                  <a:alpha val="25000"/>
                </a:schemeClr>
              </a:glow>
            </a:effectLst>
          </c:spPr>
          <c:invertIfNegative val="0"/>
          <c:dLbls>
            <c:spPr>
              <a:noFill/>
              <a:ln>
                <a:noFill/>
              </a:ln>
              <a:effectLst/>
            </c:spPr>
            <c:txPr>
              <a:bodyPr rot="-540000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'pivot tables'!$B$3:$B$7</c:f>
              <c:strCache>
                <c:ptCount val="4"/>
                <c:pt idx="0">
                  <c:v>Africa</c:v>
                </c:pt>
                <c:pt idx="1">
                  <c:v>Asia</c:v>
                </c:pt>
                <c:pt idx="2">
                  <c:v>Europe</c:v>
                </c:pt>
                <c:pt idx="3">
                  <c:v>North America</c:v>
                </c:pt>
              </c:strCache>
            </c:strRef>
          </c:cat>
          <c:val>
            <c:numRef>
              <c:f>'pivot tables'!$E$3:$E$7</c:f>
              <c:numCache>
                <c:formatCode>[&gt;999999999]0.00,,,"B";[&gt;999999]0.00,,"M";0</c:formatCode>
                <c:ptCount val="4"/>
                <c:pt idx="0">
                  <c:v>1201102442</c:v>
                </c:pt>
                <c:pt idx="1">
                  <c:v>4458250182</c:v>
                </c:pt>
                <c:pt idx="2">
                  <c:v>741535608</c:v>
                </c:pt>
                <c:pt idx="3">
                  <c:v>570383850</c:v>
                </c:pt>
              </c:numCache>
            </c:numRef>
          </c:val>
          <c:extLst>
            <c:ext xmlns:c16="http://schemas.microsoft.com/office/drawing/2014/chart" uri="{C3380CC4-5D6E-409C-BE32-E72D297353CC}">
              <c16:uniqueId val="{00000002-615B-4971-8E2A-5957CE9A6D42}"/>
            </c:ext>
          </c:extLst>
        </c:ser>
        <c:ser>
          <c:idx val="3"/>
          <c:order val="3"/>
          <c:tx>
            <c:strRef>
              <c:f>'pivot tables'!$F$2</c:f>
              <c:strCache>
                <c:ptCount val="1"/>
                <c:pt idx="0">
                  <c:v>Sum of 2010 Population</c:v>
                </c:pt>
              </c:strCache>
            </c:strRef>
          </c:tx>
          <c:spPr>
            <a:noFill/>
            <a:ln w="9525" cap="flat" cmpd="sng" algn="ctr">
              <a:solidFill>
                <a:schemeClr val="accent4"/>
              </a:solidFill>
              <a:miter lim="800000"/>
            </a:ln>
            <a:effectLst>
              <a:glow rad="63500">
                <a:schemeClr val="accent4">
                  <a:satMod val="175000"/>
                  <a:alpha val="25000"/>
                </a:schemeClr>
              </a:glow>
            </a:effectLst>
          </c:spPr>
          <c:invertIfNegative val="0"/>
          <c:dLbls>
            <c:spPr>
              <a:noFill/>
              <a:ln>
                <a:noFill/>
              </a:ln>
              <a:effectLst/>
            </c:spPr>
            <c:txPr>
              <a:bodyPr rot="-540000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'pivot tables'!$B$3:$B$7</c:f>
              <c:strCache>
                <c:ptCount val="4"/>
                <c:pt idx="0">
                  <c:v>Africa</c:v>
                </c:pt>
                <c:pt idx="1">
                  <c:v>Asia</c:v>
                </c:pt>
                <c:pt idx="2">
                  <c:v>Europe</c:v>
                </c:pt>
                <c:pt idx="3">
                  <c:v>North America</c:v>
                </c:pt>
              </c:strCache>
            </c:strRef>
          </c:cat>
          <c:val>
            <c:numRef>
              <c:f>'pivot tables'!$F$3:$F$7</c:f>
              <c:numCache>
                <c:formatCode>[&gt;999999999]0.00,,,"B";[&gt;999999]0.00,,"M";0</c:formatCode>
                <c:ptCount val="4"/>
                <c:pt idx="0">
                  <c:v>1055228072</c:v>
                </c:pt>
                <c:pt idx="1">
                  <c:v>4220041327</c:v>
                </c:pt>
                <c:pt idx="2">
                  <c:v>735613934</c:v>
                </c:pt>
                <c:pt idx="3">
                  <c:v>542720651</c:v>
                </c:pt>
              </c:numCache>
            </c:numRef>
          </c:val>
          <c:extLst>
            <c:ext xmlns:c16="http://schemas.microsoft.com/office/drawing/2014/chart" uri="{C3380CC4-5D6E-409C-BE32-E72D297353CC}">
              <c16:uniqueId val="{00000003-615B-4971-8E2A-5957CE9A6D42}"/>
            </c:ext>
          </c:extLst>
        </c:ser>
        <c:ser>
          <c:idx val="4"/>
          <c:order val="4"/>
          <c:tx>
            <c:strRef>
              <c:f>'pivot tables'!$G$2</c:f>
              <c:strCache>
                <c:ptCount val="1"/>
                <c:pt idx="0">
                  <c:v>Sum of 2000 Population</c:v>
                </c:pt>
              </c:strCache>
            </c:strRef>
          </c:tx>
          <c:spPr>
            <a:noFill/>
            <a:ln w="9525" cap="flat" cmpd="sng" algn="ctr">
              <a:solidFill>
                <a:schemeClr val="accent5"/>
              </a:solidFill>
              <a:miter lim="800000"/>
            </a:ln>
            <a:effectLst>
              <a:glow rad="63500">
                <a:schemeClr val="accent5">
                  <a:satMod val="175000"/>
                  <a:alpha val="25000"/>
                </a:schemeClr>
              </a:glow>
            </a:effectLst>
          </c:spPr>
          <c:invertIfNegative val="0"/>
          <c:dLbls>
            <c:spPr>
              <a:noFill/>
              <a:ln>
                <a:noFill/>
              </a:ln>
              <a:effectLst/>
            </c:spPr>
            <c:txPr>
              <a:bodyPr rot="-540000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'pivot tables'!$B$3:$B$7</c:f>
              <c:strCache>
                <c:ptCount val="4"/>
                <c:pt idx="0">
                  <c:v>Africa</c:v>
                </c:pt>
                <c:pt idx="1">
                  <c:v>Asia</c:v>
                </c:pt>
                <c:pt idx="2">
                  <c:v>Europe</c:v>
                </c:pt>
                <c:pt idx="3">
                  <c:v>North America</c:v>
                </c:pt>
              </c:strCache>
            </c:strRef>
          </c:cat>
          <c:val>
            <c:numRef>
              <c:f>'pivot tables'!$G$3:$G$7</c:f>
              <c:numCache>
                <c:formatCode>[&gt;999999999]0.00,,,"B";[&gt;999999]0.00,,"M";0</c:formatCode>
                <c:ptCount val="4"/>
                <c:pt idx="0">
                  <c:v>818946032</c:v>
                </c:pt>
                <c:pt idx="1">
                  <c:v>3735089604</c:v>
                </c:pt>
                <c:pt idx="2">
                  <c:v>726093423</c:v>
                </c:pt>
                <c:pt idx="3">
                  <c:v>486069584</c:v>
                </c:pt>
              </c:numCache>
            </c:numRef>
          </c:val>
          <c:extLst>
            <c:ext xmlns:c16="http://schemas.microsoft.com/office/drawing/2014/chart" uri="{C3380CC4-5D6E-409C-BE32-E72D297353CC}">
              <c16:uniqueId val="{00000004-615B-4971-8E2A-5957CE9A6D42}"/>
            </c:ext>
          </c:extLst>
        </c:ser>
        <c:ser>
          <c:idx val="5"/>
          <c:order val="5"/>
          <c:tx>
            <c:strRef>
              <c:f>'pivot tables'!$H$2</c:f>
              <c:strCache>
                <c:ptCount val="1"/>
                <c:pt idx="0">
                  <c:v>Sum of 1990 Population</c:v>
                </c:pt>
              </c:strCache>
            </c:strRef>
          </c:tx>
          <c:spPr>
            <a:noFill/>
            <a:ln w="9525" cap="flat" cmpd="sng" algn="ctr">
              <a:solidFill>
                <a:schemeClr val="accent6"/>
              </a:solidFill>
              <a:miter lim="800000"/>
            </a:ln>
            <a:effectLst>
              <a:glow rad="63500">
                <a:schemeClr val="accent6">
                  <a:satMod val="175000"/>
                  <a:alpha val="25000"/>
                </a:schemeClr>
              </a:glow>
            </a:effectLst>
          </c:spPr>
          <c:invertIfNegative val="0"/>
          <c:dPt>
            <c:idx val="0"/>
            <c:invertIfNegative val="0"/>
            <c:bubble3D val="0"/>
            <c:extLst>
              <c:ext xmlns:c16="http://schemas.microsoft.com/office/drawing/2014/chart" uri="{C3380CC4-5D6E-409C-BE32-E72D297353CC}">
                <c16:uniqueId val="{0000000A-615B-4971-8E2A-5957CE9A6D42}"/>
              </c:ext>
            </c:extLst>
          </c:dPt>
          <c:dPt>
            <c:idx val="1"/>
            <c:invertIfNegative val="0"/>
            <c:bubble3D val="0"/>
            <c:extLst>
              <c:ext xmlns:c16="http://schemas.microsoft.com/office/drawing/2014/chart" uri="{C3380CC4-5D6E-409C-BE32-E72D297353CC}">
                <c16:uniqueId val="{00000005-56C6-471A-95A6-C182AAEE9862}"/>
              </c:ext>
            </c:extLst>
          </c:dPt>
          <c:dPt>
            <c:idx val="2"/>
            <c:invertIfNegative val="0"/>
            <c:bubble3D val="0"/>
            <c:extLst>
              <c:ext xmlns:c16="http://schemas.microsoft.com/office/drawing/2014/chart" uri="{C3380CC4-5D6E-409C-BE32-E72D297353CC}">
                <c16:uniqueId val="{00000006-56C6-471A-95A6-C182AAEE9862}"/>
              </c:ext>
            </c:extLst>
          </c:dPt>
          <c:dPt>
            <c:idx val="3"/>
            <c:invertIfNegative val="0"/>
            <c:bubble3D val="0"/>
            <c:extLst>
              <c:ext xmlns:c16="http://schemas.microsoft.com/office/drawing/2014/chart" uri="{C3380CC4-5D6E-409C-BE32-E72D297353CC}">
                <c16:uniqueId val="{00000007-56C6-471A-95A6-C182AAEE9862}"/>
              </c:ext>
            </c:extLst>
          </c:dPt>
          <c:dPt>
            <c:idx val="4"/>
            <c:invertIfNegative val="0"/>
            <c:bubble3D val="0"/>
            <c:extLst>
              <c:ext xmlns:c16="http://schemas.microsoft.com/office/drawing/2014/chart" uri="{C3380CC4-5D6E-409C-BE32-E72D297353CC}">
                <c16:uniqueId val="{00000008-56C6-471A-95A6-C182AAEE9862}"/>
              </c:ext>
            </c:extLst>
          </c:dPt>
          <c:dLbls>
            <c:dLbl>
              <c:idx val="0"/>
              <c:layout>
                <c:manualLayout>
                  <c:x val="0"/>
                  <c:y val="8.7728791391986471E-2"/>
                </c:manualLayout>
              </c:layout>
              <c:spPr>
                <a:noFill/>
                <a:ln>
                  <a:noFill/>
                </a:ln>
                <a:effectLst/>
              </c:spPr>
              <c:txPr>
                <a:bodyPr rot="-5400000" spcFirstLastPara="1" vertOverflow="ellipsis" vert="horz" wrap="square" lIns="0" tIns="19050" rIns="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 xmlns:c16="http://schemas.microsoft.com/office/drawing/2014/chart" uri="{C3380CC4-5D6E-409C-BE32-E72D297353CC}">
                  <c16:uniqueId val="{0000000A-615B-4971-8E2A-5957CE9A6D42}"/>
                </c:ext>
              </c:extLst>
            </c:dLbl>
            <c:dLbl>
              <c:idx val="1"/>
              <c:layout>
                <c:manualLayout>
                  <c:x val="-2.6429926668399524E-3"/>
                  <c:y val="0.39477956126393932"/>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56C6-471A-95A6-C182AAEE9862}"/>
                </c:ext>
              </c:extLst>
            </c:dLbl>
            <c:dLbl>
              <c:idx val="2"/>
              <c:layout>
                <c:manualLayout>
                  <c:x val="-2.6429926668399524E-3"/>
                  <c:y val="0.44351777870393183"/>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56C6-471A-95A6-C182AAEE9862}"/>
                </c:ext>
              </c:extLst>
            </c:dLbl>
            <c:dLbl>
              <c:idx val="3"/>
              <c:layout>
                <c:manualLayout>
                  <c:x val="-2.6429926668399524E-3"/>
                  <c:y val="0.38503191777594081"/>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56C6-471A-95A6-C182AAEE9862}"/>
                </c:ext>
              </c:extLst>
            </c:dLbl>
            <c:spPr>
              <a:noFill/>
              <a:ln>
                <a:noFill/>
              </a:ln>
              <a:effectLst/>
            </c:spPr>
            <c:txPr>
              <a:bodyPr rot="-5400000" spcFirstLastPara="1" vertOverflow="ellipsis" vert="horz" wrap="square" lIns="324000" tIns="19050" rIns="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LeaderLines val="1"/>
                <c15:leaderLines>
                  <c:spPr>
                    <a:ln w="9525">
                      <a:solidFill>
                        <a:schemeClr val="lt1">
                          <a:lumMod val="50000"/>
                        </a:schemeClr>
                      </a:solidFill>
                      <a:round/>
                    </a:ln>
                    <a:effectLst/>
                  </c:spPr>
                </c15:leaderLines>
              </c:ext>
            </c:extLst>
          </c:dLbls>
          <c:cat>
            <c:strRef>
              <c:f>'pivot tables'!$B$3:$B$7</c:f>
              <c:strCache>
                <c:ptCount val="4"/>
                <c:pt idx="0">
                  <c:v>Africa</c:v>
                </c:pt>
                <c:pt idx="1">
                  <c:v>Asia</c:v>
                </c:pt>
                <c:pt idx="2">
                  <c:v>Europe</c:v>
                </c:pt>
                <c:pt idx="3">
                  <c:v>North America</c:v>
                </c:pt>
              </c:strCache>
            </c:strRef>
          </c:cat>
          <c:val>
            <c:numRef>
              <c:f>'pivot tables'!$H$3:$H$7</c:f>
              <c:numCache>
                <c:formatCode>[&gt;999999999]0.00,,,"B";[&gt;999999]0.00,,"M";0</c:formatCode>
                <c:ptCount val="4"/>
                <c:pt idx="0">
                  <c:v>638150629</c:v>
                </c:pt>
                <c:pt idx="1">
                  <c:v>3210563577</c:v>
                </c:pt>
                <c:pt idx="2">
                  <c:v>720320797</c:v>
                </c:pt>
                <c:pt idx="3">
                  <c:v>421266425</c:v>
                </c:pt>
              </c:numCache>
            </c:numRef>
          </c:val>
          <c:extLst>
            <c:ext xmlns:c16="http://schemas.microsoft.com/office/drawing/2014/chart" uri="{C3380CC4-5D6E-409C-BE32-E72D297353CC}">
              <c16:uniqueId val="{00000005-615B-4971-8E2A-5957CE9A6D42}"/>
            </c:ext>
          </c:extLst>
        </c:ser>
        <c:ser>
          <c:idx val="6"/>
          <c:order val="6"/>
          <c:tx>
            <c:strRef>
              <c:f>'pivot tables'!$I$2</c:f>
              <c:strCache>
                <c:ptCount val="1"/>
                <c:pt idx="0">
                  <c:v>Sum of 1980 Population</c:v>
                </c:pt>
              </c:strCache>
            </c:strRef>
          </c:tx>
          <c:invertIfNegative val="0"/>
          <c:dLbls>
            <c:spPr>
              <a:noFill/>
              <a:ln>
                <a:noFill/>
              </a:ln>
              <a:effectLst/>
            </c:spPr>
            <c:txPr>
              <a:bodyPr wrap="square" lIns="38100" tIns="19050" rIns="38100" bIns="19050" anchor="ctr">
                <a:spAutoFit/>
              </a:bodyPr>
              <a:lstStyle/>
              <a:p>
                <a:pPr>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'pivot tables'!$B$3:$B$7</c:f>
              <c:strCache>
                <c:ptCount val="4"/>
                <c:pt idx="0">
                  <c:v>Africa</c:v>
                </c:pt>
                <c:pt idx="1">
                  <c:v>Asia</c:v>
                </c:pt>
                <c:pt idx="2">
                  <c:v>Europe</c:v>
                </c:pt>
                <c:pt idx="3">
                  <c:v>North America</c:v>
                </c:pt>
              </c:strCache>
            </c:strRef>
          </c:cat>
          <c:val>
            <c:numRef>
              <c:f>'pivot tables'!$I$3:$I$7</c:f>
              <c:numCache>
                <c:formatCode>[&gt;999999999]0.00,,,"B";[&gt;999999]0.00,,"M";0</c:formatCode>
                <c:ptCount val="4"/>
                <c:pt idx="0">
                  <c:v>481536377</c:v>
                </c:pt>
                <c:pt idx="1">
                  <c:v>2635334228</c:v>
                </c:pt>
                <c:pt idx="2">
                  <c:v>692527159</c:v>
                </c:pt>
                <c:pt idx="3">
                  <c:v>368293361</c:v>
                </c:pt>
              </c:numCache>
            </c:numRef>
          </c:val>
          <c:extLst>
            <c:ext xmlns:c16="http://schemas.microsoft.com/office/drawing/2014/chart" uri="{C3380CC4-5D6E-409C-BE32-E72D297353CC}">
              <c16:uniqueId val="{00000006-615B-4971-8E2A-5957CE9A6D42}"/>
            </c:ext>
          </c:extLst>
        </c:ser>
        <c:ser>
          <c:idx val="7"/>
          <c:order val="7"/>
          <c:tx>
            <c:strRef>
              <c:f>'pivot tables'!$J$2</c:f>
              <c:strCache>
                <c:ptCount val="1"/>
                <c:pt idx="0">
                  <c:v>Sum of 1970 Population</c:v>
                </c:pt>
              </c:strCache>
            </c:strRef>
          </c:tx>
          <c:invertIfNegative val="0"/>
          <c:dLbls>
            <c:spPr>
              <a:noFill/>
              <a:ln>
                <a:noFill/>
              </a:ln>
              <a:effectLst/>
            </c:spPr>
            <c:txPr>
              <a:bodyPr wrap="square" lIns="38100" tIns="19050" rIns="38100" bIns="19050" anchor="ctr">
                <a:spAutoFit/>
              </a:bodyPr>
              <a:lstStyle/>
              <a:p>
                <a:pPr>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'pivot tables'!$B$3:$B$7</c:f>
              <c:strCache>
                <c:ptCount val="4"/>
                <c:pt idx="0">
                  <c:v>Africa</c:v>
                </c:pt>
                <c:pt idx="1">
                  <c:v>Asia</c:v>
                </c:pt>
                <c:pt idx="2">
                  <c:v>Europe</c:v>
                </c:pt>
                <c:pt idx="3">
                  <c:v>North America</c:v>
                </c:pt>
              </c:strCache>
            </c:strRef>
          </c:cat>
          <c:val>
            <c:numRef>
              <c:f>'pivot tables'!$J$3:$J$7</c:f>
              <c:numCache>
                <c:formatCode>[&gt;999999999]0.00,,,"B";[&gt;999999]0.00,,"M";0</c:formatCode>
                <c:ptCount val="4"/>
                <c:pt idx="0">
                  <c:v>365444348</c:v>
                </c:pt>
                <c:pt idx="1">
                  <c:v>2144906290</c:v>
                </c:pt>
                <c:pt idx="2">
                  <c:v>655923991</c:v>
                </c:pt>
                <c:pt idx="3">
                  <c:v>315434606</c:v>
                </c:pt>
              </c:numCache>
            </c:numRef>
          </c:val>
          <c:extLst>
            <c:ext xmlns:c16="http://schemas.microsoft.com/office/drawing/2014/chart" uri="{C3380CC4-5D6E-409C-BE32-E72D297353CC}">
              <c16:uniqueId val="{00000007-615B-4971-8E2A-5957CE9A6D42}"/>
            </c:ext>
          </c:extLst>
        </c:ser>
        <c:dLbls>
          <c:dLblPos val="ctr"/>
          <c:showLegendKey val="0"/>
          <c:showVal val="1"/>
          <c:showCatName val="0"/>
          <c:showSerName val="0"/>
          <c:showPercent val="0"/>
          <c:showBubbleSize val="0"/>
        </c:dLbls>
        <c:gapWidth val="315"/>
        <c:overlap val="-40"/>
        <c:axId val="1072569631"/>
        <c:axId val="1072570111"/>
      </c:barChart>
      <c:catAx>
        <c:axId val="1072569631"/>
        <c:scaling>
          <c:orientation val="minMax"/>
        </c:scaling>
        <c:delete val="0"/>
        <c:axPos val="b"/>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1072570111"/>
        <c:crosses val="autoZero"/>
        <c:auto val="1"/>
        <c:lblAlgn val="ctr"/>
        <c:lblOffset val="100"/>
        <c:noMultiLvlLbl val="0"/>
      </c:catAx>
      <c:valAx>
        <c:axId val="1072570111"/>
        <c:scaling>
          <c:orientation val="minMax"/>
        </c:scaling>
        <c:delete val="1"/>
        <c:axPos val="l"/>
        <c:numFmt formatCode="[&gt;999999999]0.00,,,&quot;B&quot;;[&gt;999999]0.00,,&quot;M&quot;;0" sourceLinked="1"/>
        <c:majorTickMark val="out"/>
        <c:minorTickMark val="none"/>
        <c:tickLblPos val="nextTo"/>
        <c:crossAx val="107256963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rot="-5400000" vert="horz" anchor="ctr" anchorCtr="0"/>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[Continent Stats(Excel Dashboard).xlsm]pivot tables!PivotTable3</c:name>
    <c:fmtId val="11"/>
  </c:pivotSource>
  <c:chart>
    <c:autoTitleDeleted val="1"/>
    <c:pivotFmts>
      <c:pivotFmt>
        <c:idx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dLbl>
          <c:idx val="0"/>
          <c:layout>
            <c:manualLayout>
              <c:x val="2.7777777777777779E-3"/>
              <c:y val="-6.0185185185185182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dLbl>
          <c:idx val="0"/>
          <c:layout>
            <c:manualLayout>
              <c:x val="5.5555555555555558E-3"/>
              <c:y val="-9.2592592592592587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dLbl>
          <c:idx val="0"/>
          <c:layout>
            <c:manualLayout>
              <c:x val="-1.9444444444444445E-2"/>
              <c:y val="0.13888888888888884"/>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dLbl>
          <c:idx val="0"/>
          <c:layout>
            <c:manualLayout>
              <c:x val="-3.888888888888889E-2"/>
              <c:y val="0.1759259259259259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dLbl>
          <c:idx val="0"/>
          <c:layout>
            <c:manualLayout>
              <c:x val="-1.0185067526415994E-16"/>
              <c:y val="-0.24074074074074078"/>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dLbl>
          <c:idx val="0"/>
          <c:layout>
            <c:manualLayout>
              <c:x val="5.5555555555554534E-3"/>
              <c:y val="-6.0185185185185182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dLbl>
          <c:idx val="0"/>
          <c:layout>
            <c:manualLayout>
              <c:x val="5.5555555555555558E-3"/>
              <c:y val="-9.2592592592592587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dLbl>
          <c:idx val="0"/>
          <c:layout>
            <c:manualLayout>
              <c:x val="-1.9444444444444445E-2"/>
              <c:y val="0.13888888888888884"/>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dLbl>
          <c:idx val="0"/>
          <c:layout>
            <c:manualLayout>
              <c:x val="2.7777777777777779E-3"/>
              <c:y val="-6.0185185185185182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1"/>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dLbl>
          <c:idx val="0"/>
          <c:layout>
            <c:manualLayout>
              <c:x val="-3.888888888888889E-2"/>
              <c:y val="0.1759259259259259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2"/>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dLbl>
          <c:idx val="0"/>
          <c:layout>
            <c:manualLayout>
              <c:x val="-1.0185067526415994E-16"/>
              <c:y val="-0.24074074074074078"/>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3"/>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dLbl>
          <c:idx val="0"/>
          <c:layout>
            <c:manualLayout>
              <c:x val="5.5555555555554534E-3"/>
              <c:y val="-6.0185185185185182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4"/>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5"/>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dLbl>
          <c:idx val="0"/>
          <c:layout>
            <c:manualLayout>
              <c:x val="5.5555555555555558E-3"/>
              <c:y val="-9.2592592592592587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dLbl>
          <c:idx val="0"/>
          <c:layout>
            <c:manualLayout>
              <c:x val="-1.9444444444444445E-2"/>
              <c:y val="0.13888888888888884"/>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7"/>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dLbl>
          <c:idx val="0"/>
          <c:layout>
            <c:manualLayout>
              <c:x val="2.7777777777777779E-3"/>
              <c:y val="-6.0185185185185182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8"/>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dLbl>
          <c:idx val="0"/>
          <c:layout>
            <c:manualLayout>
              <c:x val="-3.888888888888889E-2"/>
              <c:y val="0.1759259259259259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9"/>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dLbl>
          <c:idx val="0"/>
          <c:layout>
            <c:manualLayout>
              <c:x val="-1.0185067526415994E-16"/>
              <c:y val="-0.24074074074074078"/>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dLbl>
          <c:idx val="0"/>
          <c:layout>
            <c:manualLayout>
              <c:x val="5.5555555555554534E-3"/>
              <c:y val="-6.0185185185185182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1"/>
        <c:spPr>
          <a:gradFill rotWithShape="1">
            <a:gsLst>
              <a:gs pos="95500">
                <a:srgbClr val="FFC000"/>
              </a:gs>
              <a:gs pos="42000">
                <a:schemeClr val="accent4">
                  <a:lumMod val="20000"/>
                  <a:lumOff val="80000"/>
                </a:schemeClr>
              </a:gs>
            </a:gsLst>
            <a:path path="circle">
              <a:fillToRect l="50000" t="50000" r="50000" b="50000"/>
            </a:path>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gradFill>
                    <a:gsLst>
                      <a:gs pos="95500">
                        <a:srgbClr val="FFC000"/>
                      </a:gs>
                      <a:gs pos="42000">
                        <a:schemeClr val="accent4">
                          <a:lumMod val="20000"/>
                          <a:lumOff val="80000"/>
                        </a:schemeClr>
                      </a:gs>
                    </a:gsLst>
                    <a:path path="circle">
                      <a:fillToRect l="50000" t="50000" r="50000" b="50000"/>
                    </a:path>
                  </a:gra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2"/>
        <c:spPr>
          <a:gradFill rotWithShape="1">
            <a:gsLst>
              <a:gs pos="95500">
                <a:srgbClr val="FFC000"/>
              </a:gs>
              <a:gs pos="42000">
                <a:schemeClr val="accent4">
                  <a:lumMod val="20000"/>
                  <a:lumOff val="80000"/>
                </a:schemeClr>
              </a:gs>
            </a:gsLst>
            <a:path path="circle">
              <a:fillToRect l="50000" t="50000" r="50000" b="50000"/>
            </a:path>
          </a:gradFill>
          <a:ln>
            <a:noFill/>
          </a:ln>
          <a:effectLst>
            <a:outerShdw blurRad="57150" dist="19050" dir="5400000" algn="ctr" rotWithShape="0">
              <a:srgbClr val="000000">
                <a:alpha val="63000"/>
              </a:srgbClr>
            </a:outerShdw>
          </a:effectLst>
          <a:sp3d/>
        </c:spPr>
        <c:dLbl>
          <c:idx val="0"/>
          <c:layout>
            <c:manualLayout>
              <c:x val="5.5555555555555558E-3"/>
              <c:y val="-9.2592592592592587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gradFill>
                    <a:gsLst>
                      <a:gs pos="95500">
                        <a:srgbClr val="FFC000"/>
                      </a:gs>
                      <a:gs pos="42000">
                        <a:schemeClr val="accent4">
                          <a:lumMod val="20000"/>
                          <a:lumOff val="80000"/>
                        </a:schemeClr>
                      </a:gs>
                    </a:gsLst>
                    <a:path path="circle">
                      <a:fillToRect l="50000" t="50000" r="50000" b="50000"/>
                    </a:path>
                  </a:gra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3"/>
        <c:spPr>
          <a:gradFill rotWithShape="1">
            <a:gsLst>
              <a:gs pos="95500">
                <a:srgbClr val="FFC000"/>
              </a:gs>
              <a:gs pos="42000">
                <a:schemeClr val="accent4">
                  <a:lumMod val="20000"/>
                  <a:lumOff val="80000"/>
                </a:schemeClr>
              </a:gs>
            </a:gsLst>
            <a:path path="circle">
              <a:fillToRect l="50000" t="50000" r="50000" b="50000"/>
            </a:path>
          </a:gradFill>
          <a:ln>
            <a:noFill/>
          </a:ln>
          <a:effectLst>
            <a:outerShdw blurRad="57150" dist="19050" dir="5400000" algn="ctr" rotWithShape="0">
              <a:srgbClr val="000000">
                <a:alpha val="63000"/>
              </a:srgbClr>
            </a:outerShdw>
          </a:effectLst>
          <a:sp3d/>
        </c:spPr>
        <c:dLbl>
          <c:idx val="0"/>
          <c:layout>
            <c:manualLayout>
              <c:x val="-1.9444444444444445E-2"/>
              <c:y val="0.13888888888888884"/>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gradFill>
                    <a:gsLst>
                      <a:gs pos="95500">
                        <a:srgbClr val="FFC000"/>
                      </a:gs>
                      <a:gs pos="42000">
                        <a:schemeClr val="accent4">
                          <a:lumMod val="20000"/>
                          <a:lumOff val="80000"/>
                        </a:schemeClr>
                      </a:gs>
                    </a:gsLst>
                    <a:path path="circle">
                      <a:fillToRect l="50000" t="50000" r="50000" b="50000"/>
                    </a:path>
                  </a:gra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4"/>
        <c:spPr>
          <a:gradFill rotWithShape="1">
            <a:gsLst>
              <a:gs pos="95500">
                <a:srgbClr val="FFC000"/>
              </a:gs>
              <a:gs pos="42000">
                <a:schemeClr val="accent4">
                  <a:lumMod val="20000"/>
                  <a:lumOff val="80000"/>
                </a:schemeClr>
              </a:gs>
            </a:gsLst>
            <a:path path="circle">
              <a:fillToRect l="50000" t="50000" r="50000" b="50000"/>
            </a:path>
          </a:gradFill>
          <a:ln>
            <a:noFill/>
          </a:ln>
          <a:effectLst>
            <a:outerShdw blurRad="57150" dist="19050" dir="5400000" algn="ctr" rotWithShape="0">
              <a:srgbClr val="000000">
                <a:alpha val="63000"/>
              </a:srgbClr>
            </a:outerShdw>
          </a:effectLst>
          <a:sp3d/>
        </c:spPr>
        <c:dLbl>
          <c:idx val="0"/>
          <c:layout>
            <c:manualLayout>
              <c:x val="2.7777777777777779E-3"/>
              <c:y val="-6.0185185185185182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gradFill>
                    <a:gsLst>
                      <a:gs pos="95500">
                        <a:srgbClr val="FFC000"/>
                      </a:gs>
                      <a:gs pos="42000">
                        <a:schemeClr val="accent4">
                          <a:lumMod val="20000"/>
                          <a:lumOff val="80000"/>
                        </a:schemeClr>
                      </a:gs>
                    </a:gsLst>
                    <a:path path="circle">
                      <a:fillToRect l="50000" t="50000" r="50000" b="50000"/>
                    </a:path>
                  </a:gra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5"/>
        <c:spPr>
          <a:gradFill rotWithShape="1">
            <a:gsLst>
              <a:gs pos="95500">
                <a:srgbClr val="FFC000"/>
              </a:gs>
              <a:gs pos="42000">
                <a:schemeClr val="accent4">
                  <a:lumMod val="20000"/>
                  <a:lumOff val="80000"/>
                </a:schemeClr>
              </a:gs>
            </a:gsLst>
            <a:path path="circle">
              <a:fillToRect l="50000" t="50000" r="50000" b="50000"/>
            </a:path>
          </a:gradFill>
          <a:ln>
            <a:noFill/>
          </a:ln>
          <a:effectLst>
            <a:outerShdw blurRad="57150" dist="19050" dir="5400000" algn="ctr" rotWithShape="0">
              <a:srgbClr val="000000">
                <a:alpha val="63000"/>
              </a:srgbClr>
            </a:outerShdw>
          </a:effectLst>
          <a:sp3d/>
        </c:spPr>
        <c:dLbl>
          <c:idx val="0"/>
          <c:layout>
            <c:manualLayout>
              <c:x val="-3.888888888888889E-2"/>
              <c:y val="0.1759259259259259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gradFill>
                    <a:gsLst>
                      <a:gs pos="95500">
                        <a:srgbClr val="FFC000"/>
                      </a:gs>
                      <a:gs pos="42000">
                        <a:schemeClr val="accent4">
                          <a:lumMod val="20000"/>
                          <a:lumOff val="80000"/>
                        </a:schemeClr>
                      </a:gs>
                    </a:gsLst>
                    <a:path path="circle">
                      <a:fillToRect l="50000" t="50000" r="50000" b="50000"/>
                    </a:path>
                  </a:gra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6"/>
        <c:spPr>
          <a:gradFill rotWithShape="1">
            <a:gsLst>
              <a:gs pos="95500">
                <a:srgbClr val="FFC000"/>
              </a:gs>
              <a:gs pos="42000">
                <a:schemeClr val="accent4">
                  <a:lumMod val="20000"/>
                  <a:lumOff val="80000"/>
                </a:schemeClr>
              </a:gs>
            </a:gsLst>
            <a:path path="circle">
              <a:fillToRect l="50000" t="50000" r="50000" b="50000"/>
            </a:path>
          </a:gradFill>
          <a:ln>
            <a:noFill/>
          </a:ln>
          <a:effectLst>
            <a:outerShdw blurRad="57150" dist="19050" dir="5400000" algn="ctr" rotWithShape="0">
              <a:srgbClr val="000000">
                <a:alpha val="63000"/>
              </a:srgbClr>
            </a:outerShdw>
          </a:effectLst>
          <a:sp3d/>
        </c:spPr>
        <c:dLbl>
          <c:idx val="0"/>
          <c:layout>
            <c:manualLayout>
              <c:x val="-1.0185067526415994E-16"/>
              <c:y val="-0.24074074074074078"/>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gradFill>
                    <a:gsLst>
                      <a:gs pos="95500">
                        <a:srgbClr val="FFC000"/>
                      </a:gs>
                      <a:gs pos="42000">
                        <a:schemeClr val="accent4">
                          <a:lumMod val="20000"/>
                          <a:lumOff val="80000"/>
                        </a:schemeClr>
                      </a:gs>
                    </a:gsLst>
                    <a:path path="circle">
                      <a:fillToRect l="50000" t="50000" r="50000" b="50000"/>
                    </a:path>
                  </a:gra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7"/>
        <c:spPr>
          <a:gradFill rotWithShape="1">
            <a:gsLst>
              <a:gs pos="95500">
                <a:srgbClr val="FFC000"/>
              </a:gs>
              <a:gs pos="42000">
                <a:schemeClr val="accent4">
                  <a:lumMod val="20000"/>
                  <a:lumOff val="80000"/>
                </a:schemeClr>
              </a:gs>
            </a:gsLst>
            <a:path path="circle">
              <a:fillToRect l="50000" t="50000" r="50000" b="50000"/>
            </a:path>
          </a:gradFill>
          <a:ln>
            <a:noFill/>
          </a:ln>
          <a:effectLst>
            <a:outerShdw blurRad="57150" dist="19050" dir="5400000" algn="ctr" rotWithShape="0">
              <a:srgbClr val="000000">
                <a:alpha val="63000"/>
              </a:srgbClr>
            </a:outerShdw>
          </a:effectLst>
          <a:sp3d/>
        </c:spPr>
        <c:dLbl>
          <c:idx val="0"/>
          <c:layout>
            <c:manualLayout>
              <c:x val="5.5555555555554534E-3"/>
              <c:y val="-6.0185185185185182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gradFill>
                    <a:gsLst>
                      <a:gs pos="95500">
                        <a:srgbClr val="FFC000"/>
                      </a:gs>
                      <a:gs pos="42000">
                        <a:schemeClr val="accent4">
                          <a:lumMod val="20000"/>
                          <a:lumOff val="80000"/>
                        </a:schemeClr>
                      </a:gs>
                    </a:gsLst>
                    <a:path path="circle">
                      <a:fillToRect l="50000" t="50000" r="50000" b="50000"/>
                    </a:path>
                  </a:gra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8"/>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25400">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view3D>
      <c:rotX val="15"/>
      <c:rotY val="2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4.7923002451572889E-2"/>
          <c:y val="0"/>
          <c:w val="0.87566174190208568"/>
          <c:h val="0.79724939721915222"/>
        </c:manualLayout>
      </c:layout>
      <c:line3DChart>
        <c:grouping val="standard"/>
        <c:varyColors val="0"/>
        <c:ser>
          <c:idx val="0"/>
          <c:order val="0"/>
          <c:tx>
            <c:strRef>
              <c:f>'pivot tables'!$M$3</c:f>
              <c:strCache>
                <c:ptCount val="1"/>
                <c:pt idx="0">
                  <c:v>Total</c:v>
                </c:pt>
              </c:strCache>
            </c:strRef>
          </c:tx>
          <c:spPr>
            <a:gradFill rotWithShape="1">
              <a:gsLst>
                <a:gs pos="95500">
                  <a:srgbClr val="FFC000"/>
                </a:gs>
                <a:gs pos="42000">
                  <a:schemeClr val="accent4">
                    <a:lumMod val="20000"/>
                    <a:lumOff val="80000"/>
                  </a:schemeClr>
                </a:gs>
              </a:gsLst>
              <a:path path="circle">
                <a:fillToRect l="50000" t="50000" r="50000" b="50000"/>
              </a:path>
            </a:gradFill>
            <a:ln>
              <a:noFill/>
            </a:ln>
            <a:effectLst>
              <a:outerShdw blurRad="57150" dist="19050" dir="5400000" algn="ctr" rotWithShape="0">
                <a:srgbClr val="000000">
                  <a:alpha val="63000"/>
                </a:srgbClr>
              </a:outerShdw>
            </a:effectLst>
            <a:sp3d/>
          </c:spPr>
          <c:dPt>
            <c:idx val="0"/>
            <c:bubble3D val="0"/>
            <c:spPr>
              <a:gradFill rotWithShape="1">
                <a:gsLst>
                  <a:gs pos="95500">
                    <a:srgbClr val="FFC000"/>
                  </a:gs>
                  <a:gs pos="42000">
                    <a:schemeClr val="accent4">
                      <a:lumMod val="20000"/>
                      <a:lumOff val="80000"/>
                    </a:schemeClr>
                  </a:gs>
                </a:gsLst>
                <a:path path="circle">
                  <a:fillToRect l="50000" t="50000" r="50000" b="50000"/>
                </a:path>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0-25B2-4789-B204-159D77F5019C}"/>
              </c:ext>
            </c:extLst>
          </c:dPt>
          <c:dPt>
            <c:idx val="1"/>
            <c:bubble3D val="0"/>
            <c:spPr>
              <a:gradFill rotWithShape="1">
                <a:gsLst>
                  <a:gs pos="95500">
                    <a:srgbClr val="FFC000"/>
                  </a:gs>
                  <a:gs pos="42000">
                    <a:schemeClr val="accent4">
                      <a:lumMod val="20000"/>
                      <a:lumOff val="80000"/>
                    </a:schemeClr>
                  </a:gs>
                </a:gsLst>
                <a:path path="circle">
                  <a:fillToRect l="50000" t="50000" r="50000" b="50000"/>
                </a:path>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1-25B2-4789-B204-159D77F5019C}"/>
              </c:ext>
            </c:extLst>
          </c:dPt>
          <c:dPt>
            <c:idx val="2"/>
            <c:bubble3D val="0"/>
            <c:spPr>
              <a:gradFill rotWithShape="1">
                <a:gsLst>
                  <a:gs pos="95500">
                    <a:srgbClr val="FFC000"/>
                  </a:gs>
                  <a:gs pos="42000">
                    <a:schemeClr val="accent4">
                      <a:lumMod val="20000"/>
                      <a:lumOff val="80000"/>
                    </a:schemeClr>
                  </a:gs>
                </a:gsLst>
                <a:path path="circle">
                  <a:fillToRect l="50000" t="50000" r="50000" b="50000"/>
                </a:path>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2-25B2-4789-B204-159D77F5019C}"/>
              </c:ext>
            </c:extLst>
          </c:dPt>
          <c:dPt>
            <c:idx val="3"/>
            <c:bubble3D val="0"/>
            <c:spPr>
              <a:gradFill rotWithShape="1">
                <a:gsLst>
                  <a:gs pos="95500">
                    <a:srgbClr val="FFC000"/>
                  </a:gs>
                  <a:gs pos="42000">
                    <a:schemeClr val="accent4">
                      <a:lumMod val="20000"/>
                      <a:lumOff val="80000"/>
                    </a:schemeClr>
                  </a:gs>
                </a:gsLst>
                <a:path path="circle">
                  <a:fillToRect l="50000" t="50000" r="50000" b="50000"/>
                </a:path>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3-25B2-4789-B204-159D77F5019C}"/>
              </c:ext>
            </c:extLst>
          </c:dPt>
          <c:dPt>
            <c:idx val="4"/>
            <c:bubble3D val="0"/>
            <c:spPr>
              <a:gradFill rotWithShape="1">
                <a:gsLst>
                  <a:gs pos="95500">
                    <a:srgbClr val="FFC000"/>
                  </a:gs>
                  <a:gs pos="42000">
                    <a:schemeClr val="accent4">
                      <a:lumMod val="20000"/>
                      <a:lumOff val="80000"/>
                    </a:schemeClr>
                  </a:gs>
                </a:gsLst>
                <a:path path="circle">
                  <a:fillToRect l="50000" t="50000" r="50000" b="50000"/>
                </a:path>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4-25B2-4789-B204-159D77F5019C}"/>
              </c:ext>
            </c:extLst>
          </c:dPt>
          <c:dPt>
            <c:idx val="5"/>
            <c:bubble3D val="0"/>
            <c:spPr>
              <a:gradFill rotWithShape="1">
                <a:gsLst>
                  <a:gs pos="95500">
                    <a:srgbClr val="FFC000"/>
                  </a:gs>
                  <a:gs pos="42000">
                    <a:schemeClr val="accent4">
                      <a:lumMod val="20000"/>
                      <a:lumOff val="80000"/>
                    </a:schemeClr>
                  </a:gs>
                </a:gsLst>
                <a:path path="circle">
                  <a:fillToRect l="50000" t="50000" r="50000" b="50000"/>
                </a:path>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5-25B2-4789-B204-159D77F5019C}"/>
              </c:ext>
            </c:extLst>
          </c:dPt>
          <c:dLbls>
            <c:dLbl>
              <c:idx val="0"/>
              <c:layout>
                <c:manualLayout>
                  <c:x val="5.5555555555555558E-3"/>
                  <c:y val="-9.2592592592592587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25B2-4789-B204-159D77F5019C}"/>
                </c:ext>
              </c:extLst>
            </c:dLbl>
            <c:dLbl>
              <c:idx val="1"/>
              <c:layout>
                <c:manualLayout>
                  <c:x val="-1.9444444444444445E-2"/>
                  <c:y val="0.13888888888888884"/>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25B2-4789-B204-159D77F5019C}"/>
                </c:ext>
              </c:extLst>
            </c:dLbl>
            <c:dLbl>
              <c:idx val="2"/>
              <c:layout>
                <c:manualLayout>
                  <c:x val="2.7777777777777779E-3"/>
                  <c:y val="-6.0185185185185182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25B2-4789-B204-159D77F5019C}"/>
                </c:ext>
              </c:extLst>
            </c:dLbl>
            <c:dLbl>
              <c:idx val="3"/>
              <c:layout>
                <c:manualLayout>
                  <c:x val="-3.888888888888889E-2"/>
                  <c:y val="0.1759259259259259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25B2-4789-B204-159D77F5019C}"/>
                </c:ext>
              </c:extLst>
            </c:dLbl>
            <c:dLbl>
              <c:idx val="4"/>
              <c:layout>
                <c:manualLayout>
                  <c:x val="-1.0185067526415994E-16"/>
                  <c:y val="-0.24074074074074078"/>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25B2-4789-B204-159D77F5019C}"/>
                </c:ext>
              </c:extLst>
            </c:dLbl>
            <c:dLbl>
              <c:idx val="5"/>
              <c:layout>
                <c:manualLayout>
                  <c:x val="5.5555555555554534E-3"/>
                  <c:y val="-6.0185185185185182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25B2-4789-B204-159D77F5019C}"/>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gradFill>
                      <a:gsLst>
                        <a:gs pos="95500">
                          <a:srgbClr val="FFC000"/>
                        </a:gs>
                        <a:gs pos="42000">
                          <a:schemeClr val="accent4">
                            <a:lumMod val="20000"/>
                            <a:lumOff val="80000"/>
                          </a:schemeClr>
                        </a:gs>
                      </a:gsLst>
                      <a:path path="circle">
                        <a:fillToRect l="50000" t="50000" r="50000" b="50000"/>
                      </a:path>
                    </a:gra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'pivot tables'!$L$4:$L$10</c:f>
              <c:strCache>
                <c:ptCount val="6"/>
                <c:pt idx="0">
                  <c:v>Africa</c:v>
                </c:pt>
                <c:pt idx="1">
                  <c:v>Asia</c:v>
                </c:pt>
                <c:pt idx="2">
                  <c:v>Europe</c:v>
                </c:pt>
                <c:pt idx="3">
                  <c:v>North America</c:v>
                </c:pt>
                <c:pt idx="4">
                  <c:v>Oceania</c:v>
                </c:pt>
                <c:pt idx="5">
                  <c:v>South America</c:v>
                </c:pt>
              </c:strCache>
            </c:strRef>
          </c:cat>
          <c:val>
            <c:numRef>
              <c:f>'pivot tables'!$M$4:$M$10</c:f>
              <c:numCache>
                <c:formatCode>_(* #,##0.00_);_(* \(#,##0.00\);_(* "-"??_);_(@_)</c:formatCode>
                <c:ptCount val="6"/>
                <c:pt idx="0">
                  <c:v>58.210899999999995</c:v>
                </c:pt>
                <c:pt idx="1">
                  <c:v>50.469199999999987</c:v>
                </c:pt>
                <c:pt idx="2">
                  <c:v>50.112799999999986</c:v>
                </c:pt>
                <c:pt idx="3">
                  <c:v>40.167000000000002</c:v>
                </c:pt>
                <c:pt idx="4">
                  <c:v>23.169800000000002</c:v>
                </c:pt>
                <c:pt idx="5">
                  <c:v>14.111400000000001</c:v>
                </c:pt>
              </c:numCache>
            </c:numRef>
          </c:val>
          <c:smooth val="0"/>
          <c:extLst>
            <c:ext xmlns:c16="http://schemas.microsoft.com/office/drawing/2014/chart" uri="{C3380CC4-5D6E-409C-BE32-E72D297353CC}">
              <c16:uniqueId val="{00000006-25B2-4789-B204-159D77F5019C}"/>
            </c:ext>
          </c:extLst>
        </c:ser>
        <c:dLbls>
          <c:showLegendKey val="0"/>
          <c:showVal val="1"/>
          <c:showCatName val="0"/>
          <c:showSerName val="0"/>
          <c:showPercent val="0"/>
          <c:showBubbleSize val="0"/>
        </c:dLbls>
        <c:axId val="1316303503"/>
        <c:axId val="1316303983"/>
        <c:axId val="1324838015"/>
      </c:line3DChart>
      <c:catAx>
        <c:axId val="1316303503"/>
        <c:scaling>
          <c:orientation val="minMax"/>
        </c:scaling>
        <c:delete val="0"/>
        <c:axPos val="b"/>
        <c:numFmt formatCode="General" sourceLinked="1"/>
        <c:majorTickMark val="out"/>
        <c:minorTickMark val="none"/>
        <c:tickLblPos val="nextTo"/>
        <c:spPr>
          <a:noFill/>
          <a:ln w="9525" cap="flat" cmpd="sng" algn="ctr">
            <a:solidFill>
              <a:schemeClr val="dk1">
                <a:lumMod val="50000"/>
                <a:lumOff val="50000"/>
              </a:schemeClr>
            </a:solidFill>
            <a:round/>
          </a:ln>
          <a:effectLst/>
        </c:spPr>
        <c:txPr>
          <a:bodyPr rot="-60000000" spcFirstLastPara="1" vertOverflow="ellipsis" vert="horz" wrap="square" anchor="ctr" anchorCtr="1"/>
          <a:lstStyle/>
          <a:p>
            <a:pPr>
              <a:defRPr sz="900" b="0" i="0" u="none" strike="noStrike" kern="1200" baseline="0">
                <a:gradFill>
                  <a:gsLst>
                    <a:gs pos="95500">
                      <a:srgbClr val="FFC000"/>
                    </a:gs>
                    <a:gs pos="42000">
                      <a:schemeClr val="accent4">
                        <a:lumMod val="20000"/>
                        <a:lumOff val="80000"/>
                      </a:schemeClr>
                    </a:gs>
                  </a:gsLst>
                  <a:path path="circle">
                    <a:fillToRect l="50000" t="50000" r="50000" b="50000"/>
                  </a:path>
                </a:gradFill>
                <a:latin typeface="+mn-lt"/>
                <a:ea typeface="+mn-ea"/>
                <a:cs typeface="+mn-cs"/>
              </a:defRPr>
            </a:pPr>
            <a:endParaRPr lang="en-US"/>
          </a:p>
        </c:txPr>
        <c:crossAx val="1316303983"/>
        <c:crosses val="autoZero"/>
        <c:auto val="1"/>
        <c:lblAlgn val="ctr"/>
        <c:lblOffset val="100"/>
        <c:noMultiLvlLbl val="0"/>
      </c:catAx>
      <c:valAx>
        <c:axId val="1316303983"/>
        <c:scaling>
          <c:orientation val="minMax"/>
        </c:scaling>
        <c:delete val="1"/>
        <c:axPos val="l"/>
        <c:numFmt formatCode="_(* #,##0.00_);_(* \(#,##0.00\);_(* &quot;-&quot;??_);_(@_)" sourceLinked="1"/>
        <c:majorTickMark val="none"/>
        <c:minorTickMark val="none"/>
        <c:tickLblPos val="nextTo"/>
        <c:crossAx val="1316303503"/>
        <c:crosses val="autoZero"/>
        <c:crossBetween val="between"/>
      </c:valAx>
      <c:serAx>
        <c:axId val="1324838015"/>
        <c:scaling>
          <c:orientation val="minMax"/>
        </c:scaling>
        <c:delete val="0"/>
        <c:axPos val="b"/>
        <c:majorTickMark val="out"/>
        <c:minorTickMark val="none"/>
        <c:tickLblPos val="nextTo"/>
        <c:spPr>
          <a:noFill/>
          <a:ln w="9525" cap="flat" cmpd="sng" algn="ctr">
            <a:solidFill>
              <a:schemeClr val="dk1">
                <a:lumMod val="50000"/>
                <a:lumOff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316303983"/>
        <c:crosses val="autoZero"/>
      </c:ser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[Continent Stats(Excel Dashboard).xlsm]pivot tables!PivotTable4</c:name>
    <c:fmtId val="10"/>
  </c:pivotSource>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glow rad="63500">
              <a:schemeClr val="accent3">
                <a:satMod val="175000"/>
                <a:alpha val="40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glow rad="63500">
              <a:schemeClr val="accent3">
                <a:satMod val="175000"/>
                <a:alpha val="40000"/>
              </a:schemeClr>
            </a:glow>
          </a:effectLst>
        </c:spPr>
        <c:dLbl>
          <c:idx val="0"/>
          <c:layout>
            <c:manualLayout>
              <c:x val="6.6084216329630796E-2"/>
              <c:y val="3.7718958744011537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glow rad="63500">
              <a:schemeClr val="accent3">
                <a:satMod val="175000"/>
                <a:alpha val="40000"/>
              </a:schemeClr>
            </a:glow>
          </a:effectLst>
        </c:spPr>
      </c:pivotFmt>
      <c:pivotFmt>
        <c:idx val="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glow rad="63500">
              <a:schemeClr val="accent3">
                <a:satMod val="175000"/>
                <a:alpha val="40000"/>
              </a:schemeClr>
            </a:glow>
          </a:effectLst>
        </c:spPr>
      </c:pivotFmt>
      <c:pivotFmt>
        <c:idx val="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s>
    <c:plotArea>
      <c:layout/>
      <c:pieChart>
        <c:varyColors val="1"/>
        <c:ser>
          <c:idx val="0"/>
          <c:order val="0"/>
          <c:tx>
            <c:strRef>
              <c:f>'pivot tables'!$P$3</c:f>
              <c:strCache>
                <c:ptCount val="1"/>
                <c:pt idx="0">
                  <c:v>Sum of Density (per kmÂ²)</c:v>
                </c:pt>
              </c:strCache>
            </c:strRef>
          </c:tx>
          <c:spPr>
            <a:effectLst>
              <a:glow rad="63500">
                <a:schemeClr val="accent3">
                  <a:satMod val="175000"/>
                  <a:alpha val="40000"/>
                </a:schemeClr>
              </a:glow>
            </a:effectLst>
          </c:spPr>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glow rad="63500">
                  <a:schemeClr val="accent3">
                    <a:satMod val="175000"/>
                    <a:alpha val="40000"/>
                  </a:schemeClr>
                </a:glow>
              </a:effectLst>
            </c:spPr>
            <c:extLst>
              <c:ext xmlns:c16="http://schemas.microsoft.com/office/drawing/2014/chart" uri="{C3380CC4-5D6E-409C-BE32-E72D297353CC}">
                <c16:uniqueId val="{00000001-AA4B-4892-9165-0F5B3FD20442}"/>
              </c:ext>
            </c:extLst>
          </c:dPt>
          <c:dPt>
            <c:idx val="1"/>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glow rad="63500">
                  <a:schemeClr val="accent3">
                    <a:satMod val="175000"/>
                    <a:alpha val="40000"/>
                  </a:schemeClr>
                </a:glow>
              </a:effectLst>
            </c:spPr>
            <c:extLst>
              <c:ext xmlns:c16="http://schemas.microsoft.com/office/drawing/2014/chart" uri="{C3380CC4-5D6E-409C-BE32-E72D297353CC}">
                <c16:uniqueId val="{00000003-AA4B-4892-9165-0F5B3FD20442}"/>
              </c:ext>
            </c:extLst>
          </c:dPt>
          <c:dPt>
            <c:idx val="2"/>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glow rad="63500">
                  <a:schemeClr val="accent3">
                    <a:satMod val="175000"/>
                    <a:alpha val="40000"/>
                  </a:schemeClr>
                </a:glow>
              </a:effectLst>
            </c:spPr>
            <c:extLst>
              <c:ext xmlns:c16="http://schemas.microsoft.com/office/drawing/2014/chart" uri="{C3380CC4-5D6E-409C-BE32-E72D297353CC}">
                <c16:uniqueId val="{00000005-AA4B-4892-9165-0F5B3FD20442}"/>
              </c:ext>
            </c:extLst>
          </c:dPt>
          <c:dPt>
            <c:idx val="3"/>
            <c:bubble3D val="0"/>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7-AA4B-4892-9165-0F5B3FD20442}"/>
              </c:ext>
            </c:extLst>
          </c:dPt>
          <c:dPt>
            <c:idx val="4"/>
            <c:bubble3D val="0"/>
            <c:spPr>
              <a:gradFill rotWithShape="1">
                <a:gsLst>
                  <a:gs pos="0">
                    <a:schemeClr val="accent3">
                      <a:lumMod val="60000"/>
                      <a:satMod val="103000"/>
                      <a:lumMod val="102000"/>
                      <a:tint val="94000"/>
                    </a:schemeClr>
                  </a:gs>
                  <a:gs pos="50000">
                    <a:schemeClr val="accent3">
                      <a:lumMod val="60000"/>
                      <a:satMod val="110000"/>
                      <a:lumMod val="100000"/>
                      <a:shade val="100000"/>
                    </a:schemeClr>
                  </a:gs>
                  <a:gs pos="100000">
                    <a:schemeClr val="accent3">
                      <a:lumMod val="60000"/>
                      <a:lumMod val="99000"/>
                      <a:satMod val="120000"/>
                      <a:shade val="78000"/>
                    </a:schemeClr>
                  </a:gs>
                </a:gsLst>
                <a:lin ang="5400000" scaled="0"/>
              </a:gradFill>
              <a:ln>
                <a:noFill/>
              </a:ln>
              <a:effectLst>
                <a:glow rad="63500">
                  <a:schemeClr val="accent3">
                    <a:satMod val="175000"/>
                    <a:alpha val="40000"/>
                  </a:schemeClr>
                </a:glow>
              </a:effectLst>
            </c:spPr>
            <c:extLst>
              <c:ext xmlns:c16="http://schemas.microsoft.com/office/drawing/2014/chart" uri="{C3380CC4-5D6E-409C-BE32-E72D297353CC}">
                <c16:uniqueId val="{00000009-AA4B-4892-9165-0F5B3FD20442}"/>
              </c:ext>
            </c:extLst>
          </c:dPt>
          <c:dPt>
            <c:idx val="5"/>
            <c:bubble3D val="0"/>
            <c:spPr>
              <a:gradFill rotWithShape="1">
                <a:gsLst>
                  <a:gs pos="0">
                    <a:schemeClr val="accent5">
                      <a:lumMod val="60000"/>
                      <a:satMod val="103000"/>
                      <a:lumMod val="102000"/>
                      <a:tint val="94000"/>
                    </a:schemeClr>
                  </a:gs>
                  <a:gs pos="50000">
                    <a:schemeClr val="accent5">
                      <a:lumMod val="60000"/>
                      <a:satMod val="110000"/>
                      <a:lumMod val="100000"/>
                      <a:shade val="100000"/>
                    </a:schemeClr>
                  </a:gs>
                  <a:gs pos="100000">
                    <a:schemeClr val="accent5">
                      <a:lumMod val="60000"/>
                      <a:lumMod val="99000"/>
                      <a:satMod val="120000"/>
                      <a:shade val="78000"/>
                    </a:schemeClr>
                  </a:gs>
                </a:gsLst>
                <a:lin ang="5400000" scaled="0"/>
              </a:gradFill>
              <a:ln>
                <a:noFill/>
              </a:ln>
              <a:effectLst>
                <a:glow rad="63500">
                  <a:schemeClr val="accent3">
                    <a:satMod val="175000"/>
                    <a:alpha val="40000"/>
                  </a:schemeClr>
                </a:glow>
              </a:effectLst>
            </c:spPr>
            <c:extLst>
              <c:ext xmlns:c16="http://schemas.microsoft.com/office/drawing/2014/chart" uri="{C3380CC4-5D6E-409C-BE32-E72D297353CC}">
                <c16:uniqueId val="{0000000B-AA4B-4892-9165-0F5B3FD20442}"/>
              </c:ext>
            </c:extLst>
          </c:dPt>
          <c:dLbls>
            <c:dLbl>
              <c:idx val="0"/>
              <c:layout>
                <c:manualLayout>
                  <c:x val="6.6084216329630796E-2"/>
                  <c:y val="3.7718958744011537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1-AA4B-4892-9165-0F5B3FD20442}"/>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1"/>
            <c:showSerName val="0"/>
            <c:showPercent val="1"/>
            <c:showBubbleSize val="0"/>
            <c:showLeaderLines val="1"/>
            <c:leaderLines>
              <c:spPr>
                <a:ln w="9525">
                  <a:solidFill>
                    <a:schemeClr val="lt1">
                      <a:lumMod val="95000"/>
                      <a:alpha val="54000"/>
                    </a:schemeClr>
                  </a:solidFill>
                </a:ln>
                <a:effectLst/>
              </c:spPr>
            </c:leaderLines>
            <c:extLst>
              <c:ext xmlns:c15="http://schemas.microsoft.com/office/drawing/2012/chart" uri="{CE6537A1-D6FC-4f65-9D91-7224C49458BB}"/>
            </c:extLst>
          </c:dLbls>
          <c:cat>
            <c:strRef>
              <c:f>'pivot tables'!$O$4:$O$8</c:f>
              <c:strCache>
                <c:ptCount val="4"/>
                <c:pt idx="0">
                  <c:v>Africa</c:v>
                </c:pt>
                <c:pt idx="1">
                  <c:v>Asia</c:v>
                </c:pt>
                <c:pt idx="2">
                  <c:v>Europe</c:v>
                </c:pt>
                <c:pt idx="3">
                  <c:v>North America</c:v>
                </c:pt>
              </c:strCache>
            </c:strRef>
          </c:cat>
          <c:val>
            <c:numRef>
              <c:f>'pivot tables'!$P$4:$P$8</c:f>
              <c:numCache>
                <c:formatCode>#,###</c:formatCode>
                <c:ptCount val="4"/>
                <c:pt idx="0">
                  <c:v>7127.7157999999981</c:v>
                </c:pt>
                <c:pt idx="1">
                  <c:v>51251.206800000007</c:v>
                </c:pt>
                <c:pt idx="2">
                  <c:v>33166.237099999991</c:v>
                </c:pt>
                <c:pt idx="3">
                  <c:v>10910.470300000001</c:v>
                </c:pt>
              </c:numCache>
            </c:numRef>
          </c:val>
          <c:extLst>
            <c:ext xmlns:c16="http://schemas.microsoft.com/office/drawing/2014/chart" uri="{C3380CC4-5D6E-409C-BE32-E72D297353CC}">
              <c16:uniqueId val="{0000000C-AA4B-4892-9165-0F5B3FD20442}"/>
            </c:ext>
          </c:extLst>
        </c:ser>
        <c:ser>
          <c:idx val="1"/>
          <c:order val="1"/>
          <c:tx>
            <c:strRef>
              <c:f>'pivot tables'!$Q$3</c:f>
              <c:strCache>
                <c:ptCount val="1"/>
                <c:pt idx="0">
                  <c:v>Sum of Area (kmÂ²)</c:v>
                </c:pt>
              </c:strCache>
            </c:strRef>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E-AA4B-4892-9165-0F5B3FD20442}"/>
              </c:ext>
            </c:extLst>
          </c:dPt>
          <c:dPt>
            <c:idx val="1"/>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0-AA4B-4892-9165-0F5B3FD20442}"/>
              </c:ext>
            </c:extLst>
          </c:dPt>
          <c:dPt>
            <c:idx val="2"/>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2-AA4B-4892-9165-0F5B3FD20442}"/>
              </c:ext>
            </c:extLst>
          </c:dPt>
          <c:dPt>
            <c:idx val="3"/>
            <c:bubble3D val="0"/>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4-AA4B-4892-9165-0F5B3FD20442}"/>
              </c:ext>
            </c:extLst>
          </c:dPt>
          <c:dPt>
            <c:idx val="4"/>
            <c:bubble3D val="0"/>
            <c:spPr>
              <a:gradFill rotWithShape="1">
                <a:gsLst>
                  <a:gs pos="0">
                    <a:schemeClr val="accent3">
                      <a:lumMod val="60000"/>
                      <a:satMod val="103000"/>
                      <a:lumMod val="102000"/>
                      <a:tint val="94000"/>
                    </a:schemeClr>
                  </a:gs>
                  <a:gs pos="50000">
                    <a:schemeClr val="accent3">
                      <a:lumMod val="60000"/>
                      <a:satMod val="110000"/>
                      <a:lumMod val="100000"/>
                      <a:shade val="100000"/>
                    </a:schemeClr>
                  </a:gs>
                  <a:gs pos="100000">
                    <a:schemeClr val="accent3">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6-AA4B-4892-9165-0F5B3FD20442}"/>
              </c:ext>
            </c:extLst>
          </c:dPt>
          <c:dPt>
            <c:idx val="5"/>
            <c:bubble3D val="0"/>
            <c:spPr>
              <a:gradFill rotWithShape="1">
                <a:gsLst>
                  <a:gs pos="0">
                    <a:schemeClr val="accent5">
                      <a:lumMod val="60000"/>
                      <a:satMod val="103000"/>
                      <a:lumMod val="102000"/>
                      <a:tint val="94000"/>
                    </a:schemeClr>
                  </a:gs>
                  <a:gs pos="50000">
                    <a:schemeClr val="accent5">
                      <a:lumMod val="60000"/>
                      <a:satMod val="110000"/>
                      <a:lumMod val="100000"/>
                      <a:shade val="100000"/>
                    </a:schemeClr>
                  </a:gs>
                  <a:gs pos="100000">
                    <a:schemeClr val="accent5">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8-AA4B-4892-9165-0F5B3FD20442}"/>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1"/>
            <c:showSerName val="0"/>
            <c:showPercent val="1"/>
            <c:showBubbleSize val="0"/>
            <c:showLeaderLines val="1"/>
            <c:leaderLines>
              <c:spPr>
                <a:ln w="9525">
                  <a:solidFill>
                    <a:schemeClr val="lt1">
                      <a:lumMod val="95000"/>
                      <a:alpha val="54000"/>
                    </a:schemeClr>
                  </a:solidFill>
                </a:ln>
                <a:effectLst/>
              </c:spPr>
            </c:leaderLines>
            <c:extLst>
              <c:ext xmlns:c15="http://schemas.microsoft.com/office/drawing/2012/chart" uri="{CE6537A1-D6FC-4f65-9D91-7224C49458BB}"/>
            </c:extLst>
          </c:dLbls>
          <c:cat>
            <c:strRef>
              <c:f>'pivot tables'!$O$4:$O$8</c:f>
              <c:strCache>
                <c:ptCount val="4"/>
                <c:pt idx="0">
                  <c:v>Africa</c:v>
                </c:pt>
                <c:pt idx="1">
                  <c:v>Asia</c:v>
                </c:pt>
                <c:pt idx="2">
                  <c:v>Europe</c:v>
                </c:pt>
                <c:pt idx="3">
                  <c:v>North America</c:v>
                </c:pt>
              </c:strCache>
            </c:strRef>
          </c:cat>
          <c:val>
            <c:numRef>
              <c:f>'pivot tables'!$Q$4:$Q$8</c:f>
              <c:numCache>
                <c:formatCode>#,###</c:formatCode>
                <c:ptCount val="4"/>
                <c:pt idx="0">
                  <c:v>30317963</c:v>
                </c:pt>
                <c:pt idx="1">
                  <c:v>32138141</c:v>
                </c:pt>
                <c:pt idx="2">
                  <c:v>23010411</c:v>
                </c:pt>
                <c:pt idx="3">
                  <c:v>24244178</c:v>
                </c:pt>
              </c:numCache>
            </c:numRef>
          </c:val>
          <c:extLst>
            <c:ext xmlns:c16="http://schemas.microsoft.com/office/drawing/2014/chart" uri="{C3380CC4-5D6E-409C-BE32-E72D297353CC}">
              <c16:uniqueId val="{00000019-AA4B-4892-9165-0F5B3FD20442}"/>
            </c:ext>
          </c:extLst>
        </c:ser>
        <c:dLbls>
          <c:showLegendKey val="0"/>
          <c:showVal val="0"/>
          <c:showCatName val="1"/>
          <c:showSerName val="0"/>
          <c:showPercent val="1"/>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[Continent Stats(Excel Dashboard).xlsm]pivot tables!PivotTable5</c:name>
    <c:fmtId val="34"/>
  </c:pivotSource>
  <c:chart>
    <c:autoTitleDeleted val="1"/>
    <c:pivotFmts>
      <c:pivotFmt>
        <c:idx val="0"/>
        <c:spPr>
          <a:solidFill>
            <a:schemeClr val="accent1"/>
          </a:solidFill>
          <a:ln>
            <a:noFill/>
          </a:ln>
          <a:effectLst>
            <a:outerShdw blurRad="317500" algn="ctr" rotWithShape="0">
              <a:prstClr val="black">
                <a:alpha val="25000"/>
              </a:prstClr>
            </a:outerShdw>
          </a:effectLst>
        </c:spPr>
        <c:marker>
          <c:symbol val="circle"/>
          <c:size val="6"/>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bestFit"/>
          <c:showLegendKey val="0"/>
          <c:showVal val="1"/>
          <c:showCatName val="1"/>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outerShdw blurRad="317500" algn="ctr" rotWithShape="0">
              <a:prstClr val="black">
                <a:alpha val="25000"/>
              </a:prstClr>
            </a:outerShdw>
          </a:effectLst>
        </c:spPr>
        <c:dLbl>
          <c:idx val="0"/>
          <c:layout>
            <c:manualLayout>
              <c:x val="-0.13067781129911149"/>
              <c:y val="0.1534961739559724"/>
            </c:manualLayout>
          </c:layout>
          <c:tx>
            <c:rich>
              <a:bodyPr rot="-3480000" spcFirstLastPara="1" vertOverflow="ellipsis" wrap="square" lIns="38100" tIns="19050" rIns="38100" bIns="19050" anchor="ctr" anchorCtr="1">
                <a:noAutofit/>
              </a:bodyPr>
              <a:lstStyle/>
              <a:p>
                <a:pPr>
                  <a:defRPr sz="900" b="1" i="0" u="none" strike="noStrike" kern="1200" baseline="0">
                    <a:solidFill>
                      <a:schemeClr val="lt1"/>
                    </a:solidFill>
                    <a:latin typeface="+mn-lt"/>
                    <a:ea typeface="+mn-ea"/>
                    <a:cs typeface="+mn-cs"/>
                  </a:defRPr>
                </a:pPr>
                <a:fld id="{C3AC2F32-7A25-4FA3-83DD-0FDD91DE317B}" type="CATEGORYNAME">
                  <a:rPr lang="en-US" sz="800"/>
                  <a:pPr>
                    <a:defRPr sz="900" b="1" i="0" u="none" strike="noStrike" kern="1200" baseline="0">
                      <a:solidFill>
                        <a:schemeClr val="lt1"/>
                      </a:solidFill>
                      <a:latin typeface="+mn-lt"/>
                      <a:ea typeface="+mn-ea"/>
                      <a:cs typeface="+mn-cs"/>
                    </a:defRPr>
                  </a:pPr>
                  <a:t>[CATEGORY NAME]</a:t>
                </a:fld>
                <a:r>
                  <a:rPr lang="en-US" sz="800" baseline="0"/>
                  <a:t>, </a:t>
                </a:r>
                <a:fld id="{7F4FCBBE-040B-4458-BF0A-4CB237244CA8}" type="VALUE">
                  <a:rPr lang="en-US" sz="800" baseline="0"/>
                  <a:pPr>
                    <a:defRPr sz="900" b="1" i="0" u="none" strike="noStrike" kern="1200" baseline="0">
                      <a:solidFill>
                        <a:schemeClr val="lt1"/>
                      </a:solidFill>
                      <a:latin typeface="+mn-lt"/>
                      <a:ea typeface="+mn-ea"/>
                      <a:cs typeface="+mn-cs"/>
                    </a:defRPr>
                  </a:pPr>
                  <a:t>[VALUE]</a:t>
                </a:fld>
                <a:endParaRPr lang="en-US" sz="800" baseline="0"/>
              </a:p>
            </c:rich>
          </c:tx>
          <c:spPr>
            <a:noFill/>
            <a:ln>
              <a:noFill/>
            </a:ln>
            <a:effectLst/>
          </c:spPr>
          <c:txPr>
            <a:bodyPr rot="-3480000" spcFirstLastPara="1" vertOverflow="ellipsis" wrap="square" lIns="38100" tIns="19050" rIns="38100" bIns="19050" anchor="ctr" anchorCtr="1">
              <a:noAutofit/>
            </a:bodyPr>
            <a:lstStyle/>
            <a:p>
              <a:pPr>
                <a:defRPr sz="900" b="1" i="0" u="none" strike="noStrike" kern="1200" baseline="0">
                  <a:solidFill>
                    <a:schemeClr val="lt1"/>
                  </a:solidFill>
                  <a:latin typeface="+mn-lt"/>
                  <a:ea typeface="+mn-ea"/>
                  <a:cs typeface="+mn-cs"/>
                </a:defRPr>
              </a:pPr>
              <a:endParaRPr lang="en-US"/>
            </a:p>
          </c:txPr>
          <c:dLblPos val="bestFit"/>
          <c:showLegendKey val="0"/>
          <c:showVal val="1"/>
          <c:showCatName val="1"/>
          <c:showSerName val="0"/>
          <c:showPercent val="0"/>
          <c:showBubbleSize val="0"/>
          <c:extLst>
            <c:ext xmlns:c15="http://schemas.microsoft.com/office/drawing/2012/chart" uri="{CE6537A1-D6FC-4f65-9D91-7224C49458BB}">
              <c15:layout>
                <c:manualLayout>
                  <c:w val="0.14484589959797034"/>
                  <c:h val="0.1010566410873189"/>
                </c:manualLayout>
              </c15:layout>
              <c15:dlblFieldTable/>
              <c15:showDataLabelsRange val="0"/>
            </c:ext>
          </c:extLst>
        </c:dLbl>
      </c:pivotFmt>
      <c:pivotFmt>
        <c:idx val="2"/>
        <c:spPr>
          <a:solidFill>
            <a:schemeClr val="accent1"/>
          </a:solidFill>
          <a:ln>
            <a:noFill/>
          </a:ln>
          <a:effectLst>
            <a:outerShdw blurRad="317500" algn="ctr" rotWithShape="0">
              <a:prstClr val="black">
                <a:alpha val="25000"/>
              </a:prstClr>
            </a:outerShdw>
          </a:effectLst>
        </c:spPr>
        <c:dLbl>
          <c:idx val="0"/>
          <c:layout>
            <c:manualLayout>
              <c:x val="-0.13952669123112726"/>
              <c:y val="7.9442623093221448E-2"/>
            </c:manualLayout>
          </c:layout>
          <c:tx>
            <c:rich>
              <a:bodyPr rot="-1440000" spcFirstLastPara="1" vertOverflow="ellipsis" wrap="square" lIns="38100" tIns="19050" rIns="38100" bIns="19050" anchor="ctr" anchorCtr="1">
                <a:spAutoFit/>
              </a:bodyPr>
              <a:lstStyle/>
              <a:p>
                <a:pPr>
                  <a:defRPr sz="900" b="1" i="0" u="none" strike="noStrike" kern="1200" baseline="0">
                    <a:solidFill>
                      <a:schemeClr val="lt1"/>
                    </a:solidFill>
                    <a:latin typeface="+mn-lt"/>
                    <a:ea typeface="+mn-ea"/>
                    <a:cs typeface="+mn-cs"/>
                  </a:defRPr>
                </a:pPr>
                <a:fld id="{B6DEF0ED-1FB0-4025-A5EF-FBDF5BF430F2}" type="CATEGORYNAME">
                  <a:rPr lang="en-US" sz="600"/>
                  <a:pPr>
                    <a:defRPr sz="900" b="1" i="0" u="none" strike="noStrike" kern="1200" baseline="0">
                      <a:solidFill>
                        <a:schemeClr val="lt1"/>
                      </a:solidFill>
                      <a:latin typeface="+mn-lt"/>
                      <a:ea typeface="+mn-ea"/>
                      <a:cs typeface="+mn-cs"/>
                    </a:defRPr>
                  </a:pPr>
                  <a:t>[CATEGORY NAME]</a:t>
                </a:fld>
                <a:r>
                  <a:rPr lang="en-US" sz="600" baseline="0"/>
                  <a:t>, </a:t>
                </a:r>
                <a:fld id="{C13DCE84-9E19-41FD-8B98-9CC476644FC1}" type="VALUE">
                  <a:rPr lang="en-US" sz="600" baseline="0"/>
                  <a:pPr>
                    <a:defRPr sz="900" b="1" i="0" u="none" strike="noStrike" kern="1200" baseline="0">
                      <a:solidFill>
                        <a:schemeClr val="lt1"/>
                      </a:solidFill>
                      <a:latin typeface="+mn-lt"/>
                      <a:ea typeface="+mn-ea"/>
                      <a:cs typeface="+mn-cs"/>
                    </a:defRPr>
                  </a:pPr>
                  <a:t>[VALUE]</a:t>
                </a:fld>
                <a:endParaRPr lang="en-US" sz="600" baseline="0"/>
              </a:p>
            </c:rich>
          </c:tx>
          <c:spPr>
            <a:noFill/>
            <a:ln>
              <a:noFill/>
            </a:ln>
            <a:effectLst/>
          </c:spPr>
          <c:txPr>
            <a:bodyPr rot="-1440000" spcFirstLastPara="1" vertOverflow="ellipsis"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bestFit"/>
          <c:showLegendKey val="0"/>
          <c:showVal val="1"/>
          <c:showCatName val="1"/>
          <c:showSerName val="0"/>
          <c:showPercent val="0"/>
          <c:showBubbleSize val="0"/>
          <c:extLst>
            <c:ext xmlns:c15="http://schemas.microsoft.com/office/drawing/2012/chart" uri="{CE6537A1-D6FC-4f65-9D91-7224C49458BB}">
              <c15:layout>
                <c:manualLayout>
                  <c:w val="0.14991995993505658"/>
                  <c:h val="0.15752363634521041"/>
                </c:manualLayout>
              </c15:layout>
              <c15:dlblFieldTable/>
              <c15:showDataLabelsRange val="0"/>
            </c:ext>
          </c:extLst>
        </c:dLbl>
      </c:pivotFmt>
      <c:pivotFmt>
        <c:idx val="3"/>
        <c:spPr>
          <a:solidFill>
            <a:schemeClr val="accent1"/>
          </a:solidFill>
          <a:ln>
            <a:noFill/>
          </a:ln>
          <a:effectLst>
            <a:outerShdw blurRad="317500" algn="ctr" rotWithShape="0">
              <a:prstClr val="black">
                <a:alpha val="25000"/>
              </a:prstClr>
            </a:outerShdw>
          </a:effectLst>
        </c:spPr>
        <c:dLbl>
          <c:idx val="0"/>
          <c:layout>
            <c:manualLayout>
              <c:x val="-7.3546271088152732E-2"/>
              <c:y val="-7.872019533056869E-2"/>
            </c:manualLayout>
          </c:layout>
          <c:tx>
            <c:rich>
              <a:bodyPr rot="1500000" spcFirstLastPara="1" vertOverflow="ellipsis" wrap="square" lIns="38100" tIns="19050" rIns="38100" bIns="19050" anchor="ctr" anchorCtr="1">
                <a:noAutofit/>
              </a:bodyPr>
              <a:lstStyle/>
              <a:p>
                <a:pPr>
                  <a:defRPr sz="900" b="1" i="0" u="none" strike="noStrike" kern="1200" baseline="0">
                    <a:solidFill>
                      <a:schemeClr val="lt1"/>
                    </a:solidFill>
                    <a:latin typeface="+mn-lt"/>
                    <a:ea typeface="+mn-ea"/>
                    <a:cs typeface="+mn-cs"/>
                  </a:defRPr>
                </a:pPr>
                <a:fld id="{8017C775-1D19-48A0-A9BB-D42EF9744263}" type="CATEGORYNAME">
                  <a:rPr lang="en-US" sz="700"/>
                  <a:pPr>
                    <a:defRPr sz="900" b="1" i="0" u="none" strike="noStrike" kern="1200" baseline="0">
                      <a:solidFill>
                        <a:schemeClr val="lt1"/>
                      </a:solidFill>
                      <a:latin typeface="+mn-lt"/>
                      <a:ea typeface="+mn-ea"/>
                      <a:cs typeface="+mn-cs"/>
                    </a:defRPr>
                  </a:pPr>
                  <a:t>[CATEGORY NAME]</a:t>
                </a:fld>
                <a:r>
                  <a:rPr lang="en-US" sz="700" baseline="0"/>
                  <a:t>, </a:t>
                </a:r>
                <a:fld id="{B0F7D6D8-6E82-4EF9-A48C-FBEFF544C034}" type="VALUE">
                  <a:rPr lang="en-US" sz="700" baseline="0"/>
                  <a:pPr>
                    <a:defRPr sz="900" b="1" i="0" u="none" strike="noStrike" kern="1200" baseline="0">
                      <a:solidFill>
                        <a:schemeClr val="lt1"/>
                      </a:solidFill>
                      <a:latin typeface="+mn-lt"/>
                      <a:ea typeface="+mn-ea"/>
                      <a:cs typeface="+mn-cs"/>
                    </a:defRPr>
                  </a:pPr>
                  <a:t>[VALUE]</a:t>
                </a:fld>
                <a:endParaRPr lang="en-US" sz="700" baseline="0"/>
              </a:p>
            </c:rich>
          </c:tx>
          <c:spPr>
            <a:noFill/>
            <a:ln>
              <a:noFill/>
            </a:ln>
            <a:effectLst/>
          </c:spPr>
          <c:txPr>
            <a:bodyPr rot="1500000" spcFirstLastPara="1" vertOverflow="ellipsis" wrap="square" lIns="38100" tIns="19050" rIns="38100" bIns="19050" anchor="ctr" anchorCtr="1">
              <a:noAutofit/>
            </a:bodyPr>
            <a:lstStyle/>
            <a:p>
              <a:pPr>
                <a:defRPr sz="900" b="1" i="0" u="none" strike="noStrike" kern="1200" baseline="0">
                  <a:solidFill>
                    <a:schemeClr val="lt1"/>
                  </a:solidFill>
                  <a:latin typeface="+mn-lt"/>
                  <a:ea typeface="+mn-ea"/>
                  <a:cs typeface="+mn-cs"/>
                </a:defRPr>
              </a:pPr>
              <a:endParaRPr lang="en-US"/>
            </a:p>
          </c:txPr>
          <c:dLblPos val="bestFit"/>
          <c:showLegendKey val="0"/>
          <c:showVal val="1"/>
          <c:showCatName val="1"/>
          <c:showSerName val="0"/>
          <c:showPercent val="0"/>
          <c:showBubbleSize val="0"/>
          <c:extLst>
            <c:ext xmlns:c15="http://schemas.microsoft.com/office/drawing/2012/chart" uri="{CE6537A1-D6FC-4f65-9D91-7224C49458BB}">
              <c15:layout>
                <c:manualLayout>
                  <c:w val="0.1768516289199312"/>
                  <c:h val="0.13769704796326765"/>
                </c:manualLayout>
              </c15:layout>
              <c15:dlblFieldTable/>
              <c15:showDataLabelsRange val="0"/>
            </c:ext>
          </c:extLst>
        </c:dLbl>
      </c:pivotFmt>
      <c:pivotFmt>
        <c:idx val="4"/>
        <c:spPr>
          <a:solidFill>
            <a:schemeClr val="accent1"/>
          </a:solidFill>
          <a:ln>
            <a:noFill/>
          </a:ln>
          <a:effectLst>
            <a:outerShdw blurRad="317500" algn="ctr" rotWithShape="0">
              <a:prstClr val="black">
                <a:alpha val="25000"/>
              </a:prstClr>
            </a:outerShdw>
          </a:effectLst>
        </c:spPr>
        <c:dLbl>
          <c:idx val="0"/>
          <c:layout>
            <c:manualLayout>
              <c:x val="-0.12238900369781376"/>
              <c:y val="-0.12737204957389067"/>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bestFit"/>
          <c:showLegendKey val="0"/>
          <c:showVal val="1"/>
          <c:showCatName val="1"/>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a:outerShdw blurRad="317500" algn="ctr" rotWithShape="0">
              <a:prstClr val="black">
                <a:alpha val="25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bestFit"/>
          <c:showLegendKey val="0"/>
          <c:showVal val="1"/>
          <c:showCatName val="1"/>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a:outerShdw blurRad="317500" algn="ctr" rotWithShape="0">
              <a:prstClr val="black">
                <a:alpha val="25000"/>
              </a:prstClr>
            </a:outerShdw>
          </a:effectLst>
        </c:spPr>
        <c:dLbl>
          <c:idx val="0"/>
          <c:layout>
            <c:manualLayout>
              <c:x val="-0.12238900369781376"/>
              <c:y val="-0.12737204957389067"/>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bestFit"/>
          <c:showLegendKey val="0"/>
          <c:showVal val="1"/>
          <c:showCatName val="1"/>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a:outerShdw blurRad="317500" algn="ctr" rotWithShape="0">
              <a:prstClr val="black">
                <a:alpha val="25000"/>
              </a:prstClr>
            </a:outerShdw>
          </a:effectLst>
        </c:spPr>
      </c:pivotFmt>
      <c:pivotFmt>
        <c:idx val="8"/>
        <c:spPr>
          <a:solidFill>
            <a:schemeClr val="accent1"/>
          </a:solidFill>
          <a:ln>
            <a:noFill/>
          </a:ln>
          <a:effectLst>
            <a:outerShdw blurRad="317500" algn="ctr" rotWithShape="0">
              <a:prstClr val="black">
                <a:alpha val="25000"/>
              </a:prstClr>
            </a:outerShdw>
          </a:effectLst>
        </c:spPr>
        <c:dLbl>
          <c:idx val="0"/>
          <c:layout>
            <c:manualLayout>
              <c:x val="-0.13067781129911149"/>
              <c:y val="0.1534961739559724"/>
            </c:manualLayout>
          </c:layout>
          <c:tx>
            <c:rich>
              <a:bodyPr rot="-3480000" spcFirstLastPara="1" vertOverflow="ellipsis" wrap="square" lIns="38100" tIns="19050" rIns="38100" bIns="19050" anchor="ctr" anchorCtr="1">
                <a:noAutofit/>
              </a:bodyPr>
              <a:lstStyle/>
              <a:p>
                <a:pPr>
                  <a:defRPr sz="900" b="1" i="0" u="none" strike="noStrike" kern="1200" baseline="0">
                    <a:solidFill>
                      <a:schemeClr val="lt1"/>
                    </a:solidFill>
                    <a:latin typeface="+mn-lt"/>
                    <a:ea typeface="+mn-ea"/>
                    <a:cs typeface="+mn-cs"/>
                  </a:defRPr>
                </a:pPr>
                <a:fld id="{C3AC2F32-7A25-4FA3-83DD-0FDD91DE317B}" type="CATEGORYNAME">
                  <a:rPr lang="en-US" sz="800"/>
                  <a:pPr>
                    <a:defRPr sz="900" b="1" i="0" u="none" strike="noStrike" kern="1200" baseline="0">
                      <a:solidFill>
                        <a:schemeClr val="lt1"/>
                      </a:solidFill>
                      <a:latin typeface="+mn-lt"/>
                      <a:ea typeface="+mn-ea"/>
                      <a:cs typeface="+mn-cs"/>
                    </a:defRPr>
                  </a:pPr>
                  <a:t>[CATEGORY NAME]</a:t>
                </a:fld>
                <a:r>
                  <a:rPr lang="en-US" sz="800" baseline="0"/>
                  <a:t>, </a:t>
                </a:r>
                <a:fld id="{7F4FCBBE-040B-4458-BF0A-4CB237244CA8}" type="VALUE">
                  <a:rPr lang="en-US" sz="800" baseline="0"/>
                  <a:pPr>
                    <a:defRPr sz="900" b="1" i="0" u="none" strike="noStrike" kern="1200" baseline="0">
                      <a:solidFill>
                        <a:schemeClr val="lt1"/>
                      </a:solidFill>
                      <a:latin typeface="+mn-lt"/>
                      <a:ea typeface="+mn-ea"/>
                      <a:cs typeface="+mn-cs"/>
                    </a:defRPr>
                  </a:pPr>
                  <a:t>[VALUE]</a:t>
                </a:fld>
                <a:endParaRPr lang="en-US" sz="800" baseline="0"/>
              </a:p>
            </c:rich>
          </c:tx>
          <c:spPr>
            <a:noFill/>
            <a:ln>
              <a:noFill/>
            </a:ln>
            <a:effectLst/>
          </c:spPr>
          <c:txPr>
            <a:bodyPr rot="-3480000" spcFirstLastPara="1" vertOverflow="ellipsis" wrap="square" lIns="38100" tIns="19050" rIns="38100" bIns="19050" anchor="ctr" anchorCtr="1">
              <a:noAutofit/>
            </a:bodyPr>
            <a:lstStyle/>
            <a:p>
              <a:pPr>
                <a:defRPr sz="900" b="1" i="0" u="none" strike="noStrike" kern="1200" baseline="0">
                  <a:solidFill>
                    <a:schemeClr val="lt1"/>
                  </a:solidFill>
                  <a:latin typeface="+mn-lt"/>
                  <a:ea typeface="+mn-ea"/>
                  <a:cs typeface="+mn-cs"/>
                </a:defRPr>
              </a:pPr>
              <a:endParaRPr lang="en-US"/>
            </a:p>
          </c:txPr>
          <c:dLblPos val="bestFit"/>
          <c:showLegendKey val="0"/>
          <c:showVal val="1"/>
          <c:showCatName val="1"/>
          <c:showSerName val="0"/>
          <c:showPercent val="0"/>
          <c:showBubbleSize val="0"/>
          <c:extLst>
            <c:ext xmlns:c15="http://schemas.microsoft.com/office/drawing/2012/chart" uri="{CE6537A1-D6FC-4f65-9D91-7224C49458BB}">
              <c15:layout>
                <c:manualLayout>
                  <c:w val="0.14484589959797034"/>
                  <c:h val="0.1010566410873189"/>
                </c:manualLayout>
              </c15:layout>
              <c15:dlblFieldTable/>
              <c15:showDataLabelsRange val="0"/>
            </c:ext>
          </c:extLst>
        </c:dLbl>
      </c:pivotFmt>
      <c:pivotFmt>
        <c:idx val="9"/>
        <c:spPr>
          <a:solidFill>
            <a:schemeClr val="accent1"/>
          </a:solidFill>
          <a:ln>
            <a:noFill/>
          </a:ln>
          <a:effectLst>
            <a:outerShdw blurRad="317500" algn="ctr" rotWithShape="0">
              <a:prstClr val="black">
                <a:alpha val="25000"/>
              </a:prstClr>
            </a:outerShdw>
          </a:effectLst>
        </c:spPr>
        <c:dLbl>
          <c:idx val="0"/>
          <c:layout>
            <c:manualLayout>
              <c:x val="-0.13952669123112726"/>
              <c:y val="7.9442623093221448E-2"/>
            </c:manualLayout>
          </c:layout>
          <c:tx>
            <c:rich>
              <a:bodyPr rot="-1440000" spcFirstLastPara="1" vertOverflow="ellipsis" wrap="square" lIns="38100" tIns="19050" rIns="38100" bIns="19050" anchor="ctr" anchorCtr="1">
                <a:spAutoFit/>
              </a:bodyPr>
              <a:lstStyle/>
              <a:p>
                <a:pPr>
                  <a:defRPr sz="900" b="1" i="0" u="none" strike="noStrike" kern="1200" baseline="0">
                    <a:solidFill>
                      <a:schemeClr val="lt1"/>
                    </a:solidFill>
                    <a:latin typeface="+mn-lt"/>
                    <a:ea typeface="+mn-ea"/>
                    <a:cs typeface="+mn-cs"/>
                  </a:defRPr>
                </a:pPr>
                <a:fld id="{B6DEF0ED-1FB0-4025-A5EF-FBDF5BF430F2}" type="CATEGORYNAME">
                  <a:rPr lang="en-US" sz="600"/>
                  <a:pPr>
                    <a:defRPr sz="900" b="1" i="0" u="none" strike="noStrike" kern="1200" baseline="0">
                      <a:solidFill>
                        <a:schemeClr val="lt1"/>
                      </a:solidFill>
                      <a:latin typeface="+mn-lt"/>
                      <a:ea typeface="+mn-ea"/>
                      <a:cs typeface="+mn-cs"/>
                    </a:defRPr>
                  </a:pPr>
                  <a:t>[CATEGORY NAME]</a:t>
                </a:fld>
                <a:r>
                  <a:rPr lang="en-US" sz="600" baseline="0"/>
                  <a:t>, </a:t>
                </a:r>
                <a:fld id="{C13DCE84-9E19-41FD-8B98-9CC476644FC1}" type="VALUE">
                  <a:rPr lang="en-US" sz="600" baseline="0"/>
                  <a:pPr>
                    <a:defRPr sz="900" b="1" i="0" u="none" strike="noStrike" kern="1200" baseline="0">
                      <a:solidFill>
                        <a:schemeClr val="lt1"/>
                      </a:solidFill>
                      <a:latin typeface="+mn-lt"/>
                      <a:ea typeface="+mn-ea"/>
                      <a:cs typeface="+mn-cs"/>
                    </a:defRPr>
                  </a:pPr>
                  <a:t>[VALUE]</a:t>
                </a:fld>
                <a:endParaRPr lang="en-US" sz="600" baseline="0"/>
              </a:p>
            </c:rich>
          </c:tx>
          <c:spPr>
            <a:noFill/>
            <a:ln>
              <a:noFill/>
            </a:ln>
            <a:effectLst/>
          </c:spPr>
          <c:txPr>
            <a:bodyPr rot="-1440000" spcFirstLastPara="1" vertOverflow="ellipsis"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bestFit"/>
          <c:showLegendKey val="0"/>
          <c:showVal val="1"/>
          <c:showCatName val="1"/>
          <c:showSerName val="0"/>
          <c:showPercent val="0"/>
          <c:showBubbleSize val="0"/>
          <c:extLst>
            <c:ext xmlns:c15="http://schemas.microsoft.com/office/drawing/2012/chart" uri="{CE6537A1-D6FC-4f65-9D91-7224C49458BB}">
              <c15:layout>
                <c:manualLayout>
                  <c:w val="0.14991995993505658"/>
                  <c:h val="0.15752363634521041"/>
                </c:manualLayout>
              </c15:layout>
              <c15:dlblFieldTable/>
              <c15:showDataLabelsRange val="0"/>
            </c:ext>
          </c:extLst>
        </c:dLbl>
      </c:pivotFmt>
      <c:pivotFmt>
        <c:idx val="10"/>
        <c:spPr>
          <a:solidFill>
            <a:schemeClr val="accent1"/>
          </a:solidFill>
          <a:ln>
            <a:noFill/>
          </a:ln>
          <a:effectLst>
            <a:outerShdw blurRad="317500" algn="ctr" rotWithShape="0">
              <a:prstClr val="black">
                <a:alpha val="25000"/>
              </a:prstClr>
            </a:outerShdw>
          </a:effectLst>
        </c:spPr>
        <c:dLbl>
          <c:idx val="0"/>
          <c:layout>
            <c:manualLayout>
              <c:x val="-7.3546271088152732E-2"/>
              <c:y val="-7.872019533056869E-2"/>
            </c:manualLayout>
          </c:layout>
          <c:tx>
            <c:rich>
              <a:bodyPr rot="1500000" spcFirstLastPara="1" vertOverflow="ellipsis" wrap="square" lIns="38100" tIns="19050" rIns="38100" bIns="19050" anchor="ctr" anchorCtr="1">
                <a:noAutofit/>
              </a:bodyPr>
              <a:lstStyle/>
              <a:p>
                <a:pPr>
                  <a:defRPr sz="900" b="1" i="0" u="none" strike="noStrike" kern="1200" baseline="0">
                    <a:solidFill>
                      <a:schemeClr val="lt1"/>
                    </a:solidFill>
                    <a:latin typeface="+mn-lt"/>
                    <a:ea typeface="+mn-ea"/>
                    <a:cs typeface="+mn-cs"/>
                  </a:defRPr>
                </a:pPr>
                <a:fld id="{8017C775-1D19-48A0-A9BB-D42EF9744263}" type="CATEGORYNAME">
                  <a:rPr lang="en-US" sz="700"/>
                  <a:pPr>
                    <a:defRPr sz="900" b="1" i="0" u="none" strike="noStrike" kern="1200" baseline="0">
                      <a:solidFill>
                        <a:schemeClr val="lt1"/>
                      </a:solidFill>
                      <a:latin typeface="+mn-lt"/>
                      <a:ea typeface="+mn-ea"/>
                      <a:cs typeface="+mn-cs"/>
                    </a:defRPr>
                  </a:pPr>
                  <a:t>[CATEGORY NAME]</a:t>
                </a:fld>
                <a:r>
                  <a:rPr lang="en-US" sz="700" baseline="0"/>
                  <a:t>, </a:t>
                </a:r>
                <a:fld id="{B0F7D6D8-6E82-4EF9-A48C-FBEFF544C034}" type="VALUE">
                  <a:rPr lang="en-US" sz="700" baseline="0"/>
                  <a:pPr>
                    <a:defRPr sz="900" b="1" i="0" u="none" strike="noStrike" kern="1200" baseline="0">
                      <a:solidFill>
                        <a:schemeClr val="lt1"/>
                      </a:solidFill>
                      <a:latin typeface="+mn-lt"/>
                      <a:ea typeface="+mn-ea"/>
                      <a:cs typeface="+mn-cs"/>
                    </a:defRPr>
                  </a:pPr>
                  <a:t>[VALUE]</a:t>
                </a:fld>
                <a:endParaRPr lang="en-US" sz="700" baseline="0"/>
              </a:p>
            </c:rich>
          </c:tx>
          <c:spPr>
            <a:noFill/>
            <a:ln>
              <a:noFill/>
            </a:ln>
            <a:effectLst/>
          </c:spPr>
          <c:txPr>
            <a:bodyPr rot="1500000" spcFirstLastPara="1" vertOverflow="ellipsis" wrap="square" lIns="38100" tIns="19050" rIns="38100" bIns="19050" anchor="ctr" anchorCtr="1">
              <a:noAutofit/>
            </a:bodyPr>
            <a:lstStyle/>
            <a:p>
              <a:pPr>
                <a:defRPr sz="900" b="1" i="0" u="none" strike="noStrike" kern="1200" baseline="0">
                  <a:solidFill>
                    <a:schemeClr val="lt1"/>
                  </a:solidFill>
                  <a:latin typeface="+mn-lt"/>
                  <a:ea typeface="+mn-ea"/>
                  <a:cs typeface="+mn-cs"/>
                </a:defRPr>
              </a:pPr>
              <a:endParaRPr lang="en-US"/>
            </a:p>
          </c:txPr>
          <c:dLblPos val="bestFit"/>
          <c:showLegendKey val="0"/>
          <c:showVal val="1"/>
          <c:showCatName val="1"/>
          <c:showSerName val="0"/>
          <c:showPercent val="0"/>
          <c:showBubbleSize val="0"/>
          <c:extLst>
            <c:ext xmlns:c15="http://schemas.microsoft.com/office/drawing/2012/chart" uri="{CE6537A1-D6FC-4f65-9D91-7224C49458BB}">
              <c15:layout>
                <c:manualLayout>
                  <c:w val="0.1768516289199312"/>
                  <c:h val="0.13769704796326765"/>
                </c:manualLayout>
              </c15:layout>
              <c15:dlblFieldTable/>
              <c15:showDataLabelsRange val="0"/>
            </c:ext>
          </c:extLst>
        </c:dLbl>
      </c:pivotFmt>
      <c:pivotFmt>
        <c:idx val="11"/>
        <c:spPr>
          <a:solidFill>
            <a:schemeClr val="accent1"/>
          </a:solidFill>
          <a:ln>
            <a:noFill/>
          </a:ln>
          <a:effectLst>
            <a:outerShdw blurRad="317500" algn="ctr" rotWithShape="0">
              <a:prstClr val="black">
                <a:alpha val="25000"/>
              </a:prstClr>
            </a:outerShdw>
          </a:effectLst>
        </c:spPr>
      </c:pivotFmt>
      <c:pivotFmt>
        <c:idx val="12"/>
        <c:spPr>
          <a:solidFill>
            <a:schemeClr val="accent1"/>
          </a:solidFill>
          <a:ln>
            <a:noFill/>
          </a:ln>
          <a:effectLst>
            <a:glow rad="63500">
              <a:schemeClr val="accent3">
                <a:satMod val="175000"/>
                <a:alpha val="40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bestFit"/>
          <c:showLegendKey val="0"/>
          <c:showVal val="1"/>
          <c:showCatName val="1"/>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a:glow rad="63500">
              <a:schemeClr val="accent3">
                <a:satMod val="175000"/>
                <a:alpha val="40000"/>
              </a:schemeClr>
            </a:glow>
          </a:effectLst>
        </c:spPr>
        <c:dLbl>
          <c:idx val="0"/>
          <c:layout>
            <c:manualLayout>
              <c:x val="-0.12238900369781376"/>
              <c:y val="-0.12737204957389067"/>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bestFit"/>
          <c:showLegendKey val="0"/>
          <c:showVal val="1"/>
          <c:showCatName val="1"/>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a:glow rad="63500">
              <a:schemeClr val="accent3">
                <a:satMod val="175000"/>
                <a:alpha val="40000"/>
              </a:schemeClr>
            </a:glow>
          </a:effectLst>
        </c:spPr>
      </c:pivotFmt>
      <c:pivotFmt>
        <c:idx val="15"/>
        <c:spPr>
          <a:solidFill>
            <a:schemeClr val="accent1"/>
          </a:solidFill>
          <a:ln>
            <a:noFill/>
          </a:ln>
          <a:effectLst>
            <a:glow rad="63500">
              <a:schemeClr val="accent3">
                <a:satMod val="175000"/>
                <a:alpha val="40000"/>
              </a:schemeClr>
            </a:glow>
          </a:effectLst>
        </c:spPr>
        <c:dLbl>
          <c:idx val="0"/>
          <c:layout>
            <c:manualLayout>
              <c:x val="1.502523879168847E-2"/>
              <c:y val="5.212868391875497E-2"/>
            </c:manualLayout>
          </c:layout>
          <c:tx>
            <c:rich>
              <a:bodyPr rot="-3480000" spcFirstLastPara="1" vertOverflow="ellipsis" wrap="square" lIns="38100" tIns="19050" rIns="38100" bIns="19050" anchor="ctr" anchorCtr="1">
                <a:noAutofit/>
              </a:bodyPr>
              <a:lstStyle/>
              <a:p>
                <a:pPr>
                  <a:defRPr sz="900" b="1" i="0" u="none" strike="noStrike" kern="1200" baseline="0">
                    <a:solidFill>
                      <a:schemeClr val="lt1"/>
                    </a:solidFill>
                    <a:latin typeface="+mn-lt"/>
                    <a:ea typeface="+mn-ea"/>
                    <a:cs typeface="+mn-cs"/>
                  </a:defRPr>
                </a:pPr>
                <a:fld id="{C3AC2F32-7A25-4FA3-83DD-0FDD91DE317B}" type="CATEGORYNAME">
                  <a:rPr lang="en-US" sz="800"/>
                  <a:pPr>
                    <a:defRPr/>
                  </a:pPr>
                  <a:t>[CATEGORY NAME]</a:t>
                </a:fld>
                <a:r>
                  <a:rPr lang="en-US" sz="800" baseline="0"/>
                  <a:t>, </a:t>
                </a:r>
                <a:fld id="{7F4FCBBE-040B-4458-BF0A-4CB237244CA8}" type="VALUE">
                  <a:rPr lang="en-US" sz="800" baseline="0"/>
                  <a:pPr>
                    <a:defRPr/>
                  </a:pPr>
                  <a:t>[VALUE]</a:t>
                </a:fld>
                <a:endParaRPr lang="en-US" sz="800" baseline="0"/>
              </a:p>
            </c:rich>
          </c:tx>
          <c:spPr>
            <a:noFill/>
            <a:ln>
              <a:noFill/>
            </a:ln>
            <a:effectLst/>
          </c:spPr>
          <c:txPr>
            <a:bodyPr rot="-3480000" spcFirstLastPara="1" vertOverflow="ellipsis" wrap="square" lIns="38100" tIns="19050" rIns="38100" bIns="19050" anchor="ctr" anchorCtr="1">
              <a:noAutofit/>
            </a:bodyPr>
            <a:lstStyle/>
            <a:p>
              <a:pPr>
                <a:defRPr sz="900" b="1" i="0" u="none" strike="noStrike" kern="1200" baseline="0">
                  <a:solidFill>
                    <a:schemeClr val="lt1"/>
                  </a:solidFill>
                  <a:latin typeface="+mn-lt"/>
                  <a:ea typeface="+mn-ea"/>
                  <a:cs typeface="+mn-cs"/>
                </a:defRPr>
              </a:pPr>
              <a:endParaRPr lang="en-US"/>
            </a:p>
          </c:txPr>
          <c:dLblPos val="bestFit"/>
          <c:showLegendKey val="0"/>
          <c:showVal val="1"/>
          <c:showCatName val="1"/>
          <c:showSerName val="0"/>
          <c:showPercent val="0"/>
          <c:showBubbleSize val="0"/>
          <c:extLst>
            <c:ext xmlns:c15="http://schemas.microsoft.com/office/drawing/2012/chart" uri="{CE6537A1-D6FC-4f65-9D91-7224C49458BB}">
              <c15:layout>
                <c:manualLayout>
                  <c:w val="0.14484589959797034"/>
                  <c:h val="0.1010566410873189"/>
                </c:manualLayout>
              </c15:layout>
              <c15:dlblFieldTable/>
              <c15:showDataLabelsRange val="0"/>
            </c:ext>
          </c:extLst>
        </c:dLbl>
      </c:pivotFmt>
      <c:pivotFmt>
        <c:idx val="16"/>
        <c:spPr>
          <a:solidFill>
            <a:schemeClr val="accent1"/>
          </a:solidFill>
          <a:ln>
            <a:noFill/>
          </a:ln>
          <a:effectLst>
            <a:outerShdw blurRad="317500" algn="ctr" rotWithShape="0">
              <a:prstClr val="black">
                <a:alpha val="25000"/>
              </a:prstClr>
            </a:outerShdw>
          </a:effectLst>
        </c:spPr>
        <c:dLbl>
          <c:idx val="0"/>
          <c:layout>
            <c:manualLayout>
              <c:x val="-0.13952669123112726"/>
              <c:y val="7.9442623093221448E-2"/>
            </c:manualLayout>
          </c:layout>
          <c:tx>
            <c:rich>
              <a:bodyPr rot="-1440000" spcFirstLastPara="1" vertOverflow="ellipsis" wrap="square" lIns="38100" tIns="19050" rIns="38100" bIns="19050" anchor="ctr" anchorCtr="1">
                <a:spAutoFit/>
              </a:bodyPr>
              <a:lstStyle/>
              <a:p>
                <a:pPr>
                  <a:defRPr sz="900" b="1" i="0" u="none" strike="noStrike" kern="1200" baseline="0">
                    <a:solidFill>
                      <a:schemeClr val="lt1"/>
                    </a:solidFill>
                    <a:latin typeface="+mn-lt"/>
                    <a:ea typeface="+mn-ea"/>
                    <a:cs typeface="+mn-cs"/>
                  </a:defRPr>
                </a:pPr>
                <a:fld id="{B6DEF0ED-1FB0-4025-A5EF-FBDF5BF430F2}" type="CATEGORYNAME">
                  <a:rPr lang="en-US" sz="600"/>
                  <a:pPr>
                    <a:defRPr/>
                  </a:pPr>
                  <a:t>[CATEGORY NAME]</a:t>
                </a:fld>
                <a:r>
                  <a:rPr lang="en-US" sz="600" baseline="0"/>
                  <a:t>, </a:t>
                </a:r>
                <a:fld id="{C13DCE84-9E19-41FD-8B98-9CC476644FC1}" type="VALUE">
                  <a:rPr lang="en-US" sz="600" baseline="0"/>
                  <a:pPr>
                    <a:defRPr/>
                  </a:pPr>
                  <a:t>[VALUE]</a:t>
                </a:fld>
                <a:endParaRPr lang="en-US" sz="600" baseline="0"/>
              </a:p>
            </c:rich>
          </c:tx>
          <c:spPr>
            <a:noFill/>
            <a:ln>
              <a:noFill/>
            </a:ln>
            <a:effectLst/>
          </c:spPr>
          <c:txPr>
            <a:bodyPr rot="-1440000" spcFirstLastPara="1" vertOverflow="ellipsis"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bestFit"/>
          <c:showLegendKey val="0"/>
          <c:showVal val="1"/>
          <c:showCatName val="1"/>
          <c:showSerName val="0"/>
          <c:showPercent val="0"/>
          <c:showBubbleSize val="0"/>
          <c:extLst>
            <c:ext xmlns:c15="http://schemas.microsoft.com/office/drawing/2012/chart" uri="{CE6537A1-D6FC-4f65-9D91-7224C49458BB}">
              <c15:layout>
                <c:manualLayout>
                  <c:w val="0.14991995993505658"/>
                  <c:h val="0.15752363634521041"/>
                </c:manualLayout>
              </c15:layout>
              <c15:dlblFieldTable/>
              <c15:showDataLabelsRange val="0"/>
            </c:ext>
          </c:extLst>
        </c:dLbl>
      </c:pivotFmt>
      <c:pivotFmt>
        <c:idx val="17"/>
        <c:spPr>
          <a:solidFill>
            <a:schemeClr val="accent1"/>
          </a:solidFill>
          <a:ln>
            <a:noFill/>
          </a:ln>
          <a:effectLst>
            <a:outerShdw blurRad="317500" algn="ctr" rotWithShape="0">
              <a:prstClr val="black">
                <a:alpha val="25000"/>
              </a:prstClr>
            </a:outerShdw>
          </a:effectLst>
        </c:spPr>
        <c:dLbl>
          <c:idx val="0"/>
          <c:layout>
            <c:manualLayout>
              <c:x val="-7.3546271088152732E-2"/>
              <c:y val="-7.872019533056869E-2"/>
            </c:manualLayout>
          </c:layout>
          <c:tx>
            <c:rich>
              <a:bodyPr rot="1500000" spcFirstLastPara="1" vertOverflow="ellipsis" wrap="square" lIns="38100" tIns="19050" rIns="38100" bIns="19050" anchor="ctr" anchorCtr="1">
                <a:noAutofit/>
              </a:bodyPr>
              <a:lstStyle/>
              <a:p>
                <a:pPr>
                  <a:defRPr sz="900" b="1" i="0" u="none" strike="noStrike" kern="1200" baseline="0">
                    <a:solidFill>
                      <a:schemeClr val="lt1"/>
                    </a:solidFill>
                    <a:latin typeface="+mn-lt"/>
                    <a:ea typeface="+mn-ea"/>
                    <a:cs typeface="+mn-cs"/>
                  </a:defRPr>
                </a:pPr>
                <a:fld id="{8017C775-1D19-48A0-A9BB-D42EF9744263}" type="CATEGORYNAME">
                  <a:rPr lang="en-US" sz="700"/>
                  <a:pPr>
                    <a:defRPr sz="900" b="1" i="0" u="none" strike="noStrike" kern="1200" baseline="0">
                      <a:solidFill>
                        <a:schemeClr val="lt1"/>
                      </a:solidFill>
                      <a:latin typeface="+mn-lt"/>
                      <a:ea typeface="+mn-ea"/>
                      <a:cs typeface="+mn-cs"/>
                    </a:defRPr>
                  </a:pPr>
                  <a:t>[CATEGORY NAME]</a:t>
                </a:fld>
                <a:r>
                  <a:rPr lang="en-US" sz="700" baseline="0"/>
                  <a:t>, </a:t>
                </a:r>
                <a:fld id="{B0F7D6D8-6E82-4EF9-A48C-FBEFF544C034}" type="VALUE">
                  <a:rPr lang="en-US" sz="700" baseline="0"/>
                  <a:pPr>
                    <a:defRPr sz="900" b="1" i="0" u="none" strike="noStrike" kern="1200" baseline="0">
                      <a:solidFill>
                        <a:schemeClr val="lt1"/>
                      </a:solidFill>
                      <a:latin typeface="+mn-lt"/>
                      <a:ea typeface="+mn-ea"/>
                      <a:cs typeface="+mn-cs"/>
                    </a:defRPr>
                  </a:pPr>
                  <a:t>[VALUE]</a:t>
                </a:fld>
                <a:endParaRPr lang="en-US" sz="700" baseline="0"/>
              </a:p>
            </c:rich>
          </c:tx>
          <c:spPr>
            <a:noFill/>
            <a:ln>
              <a:noFill/>
            </a:ln>
            <a:effectLst/>
          </c:spPr>
          <c:txPr>
            <a:bodyPr rot="1500000" spcFirstLastPara="1" vertOverflow="ellipsis" wrap="square" lIns="38100" tIns="19050" rIns="38100" bIns="19050" anchor="ctr" anchorCtr="1">
              <a:noAutofit/>
            </a:bodyPr>
            <a:lstStyle/>
            <a:p>
              <a:pPr>
                <a:defRPr sz="900" b="1" i="0" u="none" strike="noStrike" kern="1200" baseline="0">
                  <a:solidFill>
                    <a:schemeClr val="lt1"/>
                  </a:solidFill>
                  <a:latin typeface="+mn-lt"/>
                  <a:ea typeface="+mn-ea"/>
                  <a:cs typeface="+mn-cs"/>
                </a:defRPr>
              </a:pPr>
              <a:endParaRPr lang="en-US"/>
            </a:p>
          </c:txPr>
          <c:dLblPos val="bestFit"/>
          <c:showLegendKey val="0"/>
          <c:showVal val="1"/>
          <c:showCatName val="1"/>
          <c:showSerName val="0"/>
          <c:showPercent val="0"/>
          <c:showBubbleSize val="0"/>
          <c:extLst>
            <c:ext xmlns:c15="http://schemas.microsoft.com/office/drawing/2012/chart" uri="{CE6537A1-D6FC-4f65-9D91-7224C49458BB}">
              <c15:layout>
                <c:manualLayout>
                  <c:w val="0.1768516289199312"/>
                  <c:h val="0.13769704796326765"/>
                </c:manualLayout>
              </c15:layout>
              <c15:dlblFieldTable/>
              <c15:showDataLabelsRange val="0"/>
            </c:ext>
          </c:extLst>
        </c:dLbl>
      </c:pivotFmt>
      <c:pivotFmt>
        <c:idx val="18"/>
        <c:spPr>
          <a:solidFill>
            <a:schemeClr val="accent1"/>
          </a:solidFill>
          <a:ln>
            <a:noFill/>
          </a:ln>
          <a:effectLst>
            <a:outerShdw blurRad="317500" algn="ctr" rotWithShape="0">
              <a:prstClr val="black">
                <a:alpha val="25000"/>
              </a:prstClr>
            </a:outerShdw>
          </a:effectLst>
        </c:spPr>
      </c:pivotFmt>
    </c:pivotFmts>
    <c:plotArea>
      <c:layout>
        <c:manualLayout>
          <c:layoutTarget val="inner"/>
          <c:xMode val="edge"/>
          <c:yMode val="edge"/>
          <c:x val="7.3628972948057314E-2"/>
          <c:y val="0.19261639737291097"/>
          <c:w val="0.81379002578326332"/>
          <c:h val="0.61476720525417805"/>
        </c:manualLayout>
      </c:layout>
      <c:ofPieChart>
        <c:ofPieType val="pie"/>
        <c:varyColors val="1"/>
        <c:ser>
          <c:idx val="0"/>
          <c:order val="0"/>
          <c:tx>
            <c:strRef>
              <c:f>'pivot tables'!$U$3</c:f>
              <c:strCache>
                <c:ptCount val="1"/>
                <c:pt idx="0">
                  <c:v>Total</c:v>
                </c:pt>
              </c:strCache>
            </c:strRef>
          </c:tx>
          <c:spPr>
            <a:effectLst>
              <a:glow rad="63500">
                <a:schemeClr val="accent3">
                  <a:satMod val="175000"/>
                  <a:alpha val="40000"/>
                </a:schemeClr>
              </a:glow>
            </a:effectLst>
          </c:spPr>
          <c:dPt>
            <c:idx val="0"/>
            <c:bubble3D val="0"/>
            <c:spPr>
              <a:solidFill>
                <a:schemeClr val="accent1"/>
              </a:solidFill>
              <a:ln>
                <a:noFill/>
              </a:ln>
              <a:effectLst>
                <a:glow rad="63500">
                  <a:schemeClr val="accent3">
                    <a:satMod val="175000"/>
                    <a:alpha val="40000"/>
                  </a:schemeClr>
                </a:glow>
              </a:effectLst>
            </c:spPr>
            <c:extLst>
              <c:ext xmlns:c16="http://schemas.microsoft.com/office/drawing/2014/chart" uri="{C3380CC4-5D6E-409C-BE32-E72D297353CC}">
                <c16:uniqueId val="{00000001-CA14-49CF-9E46-A35D2C6DF578}"/>
              </c:ext>
            </c:extLst>
          </c:dPt>
          <c:dPt>
            <c:idx val="1"/>
            <c:bubble3D val="0"/>
            <c:spPr>
              <a:solidFill>
                <a:schemeClr val="accent2"/>
              </a:solidFill>
              <a:ln>
                <a:noFill/>
              </a:ln>
              <a:effectLst>
                <a:glow rad="63500">
                  <a:schemeClr val="accent3">
                    <a:satMod val="175000"/>
                    <a:alpha val="40000"/>
                  </a:schemeClr>
                </a:glow>
              </a:effectLst>
            </c:spPr>
            <c:extLst>
              <c:ext xmlns:c16="http://schemas.microsoft.com/office/drawing/2014/chart" uri="{C3380CC4-5D6E-409C-BE32-E72D297353CC}">
                <c16:uniqueId val="{00000003-CA14-49CF-9E46-A35D2C6DF578}"/>
              </c:ext>
            </c:extLst>
          </c:dPt>
          <c:dPt>
            <c:idx val="2"/>
            <c:bubble3D val="0"/>
            <c:spPr>
              <a:solidFill>
                <a:schemeClr val="accent3"/>
              </a:solidFill>
              <a:ln>
                <a:noFill/>
              </a:ln>
              <a:effectLst>
                <a:glow rad="63500">
                  <a:schemeClr val="accent3">
                    <a:satMod val="175000"/>
                    <a:alpha val="40000"/>
                  </a:schemeClr>
                </a:glow>
              </a:effectLst>
            </c:spPr>
            <c:extLst>
              <c:ext xmlns:c16="http://schemas.microsoft.com/office/drawing/2014/chart" uri="{C3380CC4-5D6E-409C-BE32-E72D297353CC}">
                <c16:uniqueId val="{00000005-CA14-49CF-9E46-A35D2C6DF578}"/>
              </c:ext>
            </c:extLst>
          </c:dPt>
          <c:dPt>
            <c:idx val="3"/>
            <c:bubble3D val="0"/>
            <c:spPr>
              <a:solidFill>
                <a:schemeClr val="accent4"/>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7-CA14-49CF-9E46-A35D2C6DF578}"/>
              </c:ext>
            </c:extLst>
          </c:dPt>
          <c:dPt>
            <c:idx val="4"/>
            <c:bubble3D val="0"/>
            <c:spPr>
              <a:solidFill>
                <a:schemeClr val="accent5"/>
              </a:solidFill>
              <a:ln>
                <a:noFill/>
              </a:ln>
              <a:effectLst>
                <a:glow rad="63500">
                  <a:schemeClr val="accent3">
                    <a:satMod val="175000"/>
                    <a:alpha val="40000"/>
                  </a:schemeClr>
                </a:glow>
              </a:effectLst>
            </c:spPr>
            <c:extLst>
              <c:ext xmlns:c16="http://schemas.microsoft.com/office/drawing/2014/chart" uri="{C3380CC4-5D6E-409C-BE32-E72D297353CC}">
                <c16:uniqueId val="{00000009-CA14-49CF-9E46-A35D2C6DF578}"/>
              </c:ext>
            </c:extLst>
          </c:dPt>
          <c:dPt>
            <c:idx val="5"/>
            <c:bubble3D val="0"/>
            <c:spPr>
              <a:solidFill>
                <a:schemeClr val="accent6"/>
              </a:solidFill>
              <a:ln>
                <a:noFill/>
              </a:ln>
              <a:effectLst>
                <a:glow rad="63500">
                  <a:schemeClr val="accent3">
                    <a:satMod val="175000"/>
                    <a:alpha val="40000"/>
                  </a:schemeClr>
                </a:glow>
              </a:effectLst>
            </c:spPr>
            <c:extLst>
              <c:ext xmlns:c16="http://schemas.microsoft.com/office/drawing/2014/chart" uri="{C3380CC4-5D6E-409C-BE32-E72D297353CC}">
                <c16:uniqueId val="{0000000B-CA14-49CF-9E46-A35D2C6DF578}"/>
              </c:ext>
            </c:extLst>
          </c:dPt>
          <c:dPt>
            <c:idx val="6"/>
            <c:bubble3D val="0"/>
            <c:spPr>
              <a:solidFill>
                <a:schemeClr val="accent1">
                  <a:lumMod val="60000"/>
                </a:schemeClr>
              </a:solidFill>
              <a:ln>
                <a:noFill/>
              </a:ln>
              <a:effectLst>
                <a:glow rad="63500">
                  <a:schemeClr val="accent3">
                    <a:satMod val="175000"/>
                    <a:alpha val="40000"/>
                  </a:schemeClr>
                </a:glow>
              </a:effectLst>
            </c:spPr>
            <c:extLst>
              <c:ext xmlns:c16="http://schemas.microsoft.com/office/drawing/2014/chart" uri="{C3380CC4-5D6E-409C-BE32-E72D297353CC}">
                <c16:uniqueId val="{0000000D-CA14-49CF-9E46-A35D2C6DF578}"/>
              </c:ext>
            </c:extLst>
          </c:dPt>
          <c:dLbls>
            <c:dLbl>
              <c:idx val="0"/>
              <c:layout>
                <c:manualLayout>
                  <c:x val="-0.12238900369781376"/>
                  <c:y val="-0.12737204957389067"/>
                </c:manualLayout>
              </c:layout>
              <c:dLblPos val="bestFit"/>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1-CA14-49CF-9E46-A35D2C6DF578}"/>
                </c:ext>
              </c:extLst>
            </c:dLbl>
            <c:dLbl>
              <c:idx val="2"/>
              <c:layout>
                <c:manualLayout>
                  <c:x val="1.502523879168847E-2"/>
                  <c:y val="5.212868391875497E-2"/>
                </c:manualLayout>
              </c:layout>
              <c:tx>
                <c:rich>
                  <a:bodyPr rot="-3480000" spcFirstLastPara="1" vertOverflow="ellipsis" wrap="square" lIns="38100" tIns="19050" rIns="38100" bIns="19050" anchor="ctr" anchorCtr="1">
                    <a:noAutofit/>
                  </a:bodyPr>
                  <a:lstStyle/>
                  <a:p>
                    <a:pPr>
                      <a:defRPr sz="900" b="1" i="0" u="none" strike="noStrike" kern="1200" baseline="0">
                        <a:solidFill>
                          <a:schemeClr val="lt1"/>
                        </a:solidFill>
                        <a:latin typeface="+mn-lt"/>
                        <a:ea typeface="+mn-ea"/>
                        <a:cs typeface="+mn-cs"/>
                      </a:defRPr>
                    </a:pPr>
                    <a:fld id="{C3AC2F32-7A25-4FA3-83DD-0FDD91DE317B}" type="CATEGORYNAME">
                      <a:rPr lang="en-US" sz="800"/>
                      <a:pPr>
                        <a:defRPr/>
                      </a:pPr>
                      <a:t>[CATEGORY NAME]</a:t>
                    </a:fld>
                    <a:r>
                      <a:rPr lang="en-US" sz="800" baseline="0"/>
                      <a:t>, </a:t>
                    </a:r>
                    <a:fld id="{7F4FCBBE-040B-4458-BF0A-4CB237244CA8}" type="VALUE">
                      <a:rPr lang="en-US" sz="800" baseline="0"/>
                      <a:pPr>
                        <a:defRPr/>
                      </a:pPr>
                      <a:t>[VALUE]</a:t>
                    </a:fld>
                    <a:endParaRPr lang="en-US" sz="800" baseline="0"/>
                  </a:p>
                </c:rich>
              </c:tx>
              <c:spPr>
                <a:noFill/>
                <a:ln>
                  <a:noFill/>
                </a:ln>
                <a:effectLst/>
              </c:spPr>
              <c:txPr>
                <a:bodyPr rot="-3480000" spcFirstLastPara="1" vertOverflow="ellipsis" wrap="square" lIns="38100" tIns="19050" rIns="38100" bIns="19050" anchor="ctr" anchorCtr="1">
                  <a:noAutofit/>
                </a:bodyPr>
                <a:lstStyle/>
                <a:p>
                  <a:pPr>
                    <a:defRPr sz="900" b="1" i="0" u="none" strike="noStrike" kern="1200" baseline="0">
                      <a:solidFill>
                        <a:schemeClr val="lt1"/>
                      </a:solidFill>
                      <a:latin typeface="+mn-lt"/>
                      <a:ea typeface="+mn-ea"/>
                      <a:cs typeface="+mn-cs"/>
                    </a:defRPr>
                  </a:pPr>
                  <a:endParaRPr lang="en-US"/>
                </a:p>
              </c:txPr>
              <c:dLblPos val="bestFit"/>
              <c:showLegendKey val="0"/>
              <c:showVal val="1"/>
              <c:showCatName val="1"/>
              <c:showSerName val="0"/>
              <c:showPercent val="0"/>
              <c:showBubbleSize val="0"/>
              <c:extLst>
                <c:ext xmlns:c15="http://schemas.microsoft.com/office/drawing/2012/chart" uri="{CE6537A1-D6FC-4f65-9D91-7224C49458BB}">
                  <c15:layout>
                    <c:manualLayout>
                      <c:w val="0.14484589959797034"/>
                      <c:h val="0.1010566410873189"/>
                    </c:manualLayout>
                  </c15:layout>
                  <c15:dlblFieldTable/>
                  <c15:showDataLabelsRange val="0"/>
                </c:ext>
                <c:ext xmlns:c16="http://schemas.microsoft.com/office/drawing/2014/chart" uri="{C3380CC4-5D6E-409C-BE32-E72D297353CC}">
                  <c16:uniqueId val="{00000005-CA14-49CF-9E46-A35D2C6DF578}"/>
                </c:ext>
              </c:extLst>
            </c:dLbl>
            <c:dLbl>
              <c:idx val="3"/>
              <c:layout>
                <c:manualLayout>
                  <c:x val="-0.13952669123112726"/>
                  <c:y val="7.9442623093221448E-2"/>
                </c:manualLayout>
              </c:layout>
              <c:tx>
                <c:rich>
                  <a:bodyPr rot="-1440000" spcFirstLastPara="1" vertOverflow="ellipsis" wrap="square" lIns="38100" tIns="19050" rIns="38100" bIns="19050" anchor="ctr" anchorCtr="1">
                    <a:spAutoFit/>
                  </a:bodyPr>
                  <a:lstStyle/>
                  <a:p>
                    <a:pPr>
                      <a:defRPr sz="900" b="1" i="0" u="none" strike="noStrike" kern="1200" baseline="0">
                        <a:solidFill>
                          <a:schemeClr val="lt1"/>
                        </a:solidFill>
                        <a:latin typeface="+mn-lt"/>
                        <a:ea typeface="+mn-ea"/>
                        <a:cs typeface="+mn-cs"/>
                      </a:defRPr>
                    </a:pPr>
                    <a:fld id="{B6DEF0ED-1FB0-4025-A5EF-FBDF5BF430F2}" type="CATEGORYNAME">
                      <a:rPr lang="en-US" sz="600"/>
                      <a:pPr>
                        <a:defRPr/>
                      </a:pPr>
                      <a:t>[CATEGORY NAME]</a:t>
                    </a:fld>
                    <a:r>
                      <a:rPr lang="en-US" sz="600" baseline="0"/>
                      <a:t>, </a:t>
                    </a:r>
                    <a:fld id="{C13DCE84-9E19-41FD-8B98-9CC476644FC1}" type="VALUE">
                      <a:rPr lang="en-US" sz="600" baseline="0"/>
                      <a:pPr>
                        <a:defRPr/>
                      </a:pPr>
                      <a:t>[VALUE]</a:t>
                    </a:fld>
                    <a:endParaRPr lang="en-US" sz="600" baseline="0"/>
                  </a:p>
                </c:rich>
              </c:tx>
              <c:spPr>
                <a:noFill/>
                <a:ln>
                  <a:noFill/>
                </a:ln>
                <a:effectLst/>
              </c:spPr>
              <c:txPr>
                <a:bodyPr rot="-1440000" spcFirstLastPara="1" vertOverflow="ellipsis"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bestFit"/>
              <c:showLegendKey val="0"/>
              <c:showVal val="1"/>
              <c:showCatName val="1"/>
              <c:showSerName val="0"/>
              <c:showPercent val="0"/>
              <c:showBubbleSize val="0"/>
              <c:extLst>
                <c:ext xmlns:c15="http://schemas.microsoft.com/office/drawing/2012/chart" uri="{CE6537A1-D6FC-4f65-9D91-7224C49458BB}">
                  <c15:layout>
                    <c:manualLayout>
                      <c:w val="0.14991995993505658"/>
                      <c:h val="0.15752363634521041"/>
                    </c:manualLayout>
                  </c15:layout>
                  <c15:dlblFieldTable/>
                  <c15:showDataLabelsRange val="0"/>
                </c:ext>
                <c:ext xmlns:c16="http://schemas.microsoft.com/office/drawing/2014/chart" uri="{C3380CC4-5D6E-409C-BE32-E72D297353CC}">
                  <c16:uniqueId val="{00000007-CA14-49CF-9E46-A35D2C6DF578}"/>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bestFit"/>
            <c:showLegendKey val="0"/>
            <c:showVal val="1"/>
            <c:showCatName val="1"/>
            <c:showSerName val="0"/>
            <c:showPercent val="0"/>
            <c:showBubbleSize val="0"/>
            <c:showLeaderLines val="1"/>
            <c:leaderLines>
              <c:spPr>
                <a:ln w="9525" cap="flat" cmpd="sng" algn="ctr">
                  <a:solidFill>
                    <a:schemeClr val="dk1">
                      <a:lumMod val="35000"/>
                      <a:lumOff val="65000"/>
                    </a:schemeClr>
                  </a:solidFill>
                  <a:round/>
                </a:ln>
                <a:effectLst/>
              </c:spPr>
            </c:leaderLines>
            <c:extLst>
              <c:ext xmlns:c15="http://schemas.microsoft.com/office/drawing/2012/chart" uri="{CE6537A1-D6FC-4f65-9D91-7224C49458BB}"/>
            </c:extLst>
          </c:dLbls>
          <c:cat>
            <c:strRef>
              <c:f>'pivot tables'!$T$4:$T$8</c:f>
              <c:strCache>
                <c:ptCount val="4"/>
                <c:pt idx="0">
                  <c:v>Africa</c:v>
                </c:pt>
                <c:pt idx="1">
                  <c:v>Asia</c:v>
                </c:pt>
                <c:pt idx="2">
                  <c:v>Europe</c:v>
                </c:pt>
                <c:pt idx="3">
                  <c:v>North America</c:v>
                </c:pt>
              </c:strCache>
            </c:strRef>
          </c:cat>
          <c:val>
            <c:numRef>
              <c:f>'pivot tables'!$U$4:$U$8</c:f>
              <c:numCache>
                <c:formatCode>General</c:formatCode>
                <c:ptCount val="4"/>
                <c:pt idx="0">
                  <c:v>17.869999999999994</c:v>
                </c:pt>
                <c:pt idx="1">
                  <c:v>59.190000000000005</c:v>
                </c:pt>
                <c:pt idx="2">
                  <c:v>9.3299999999999983</c:v>
                </c:pt>
                <c:pt idx="3">
                  <c:v>7.51</c:v>
                </c:pt>
              </c:numCache>
            </c:numRef>
          </c:val>
          <c:extLst>
            <c:ext xmlns:c16="http://schemas.microsoft.com/office/drawing/2014/chart" uri="{C3380CC4-5D6E-409C-BE32-E72D297353CC}">
              <c16:uniqueId val="{0000000E-CA14-49CF-9E46-A35D2C6DF578}"/>
            </c:ext>
          </c:extLst>
        </c:ser>
        <c:dLbls>
          <c:dLblPos val="bestFit"/>
          <c:showLegendKey val="0"/>
          <c:showVal val="1"/>
          <c:showCatName val="1"/>
          <c:showSerName val="0"/>
          <c:showPercent val="0"/>
          <c:showBubbleSize val="0"/>
          <c:showLeaderLines val="1"/>
        </c:dLbls>
        <c:gapWidth val="100"/>
        <c:secondPieSize val="75"/>
        <c:serLines>
          <c:spPr>
            <a:ln w="9525" cap="flat" cmpd="sng" algn="ctr">
              <a:solidFill>
                <a:schemeClr val="dk1">
                  <a:lumMod val="35000"/>
                  <a:lumOff val="65000"/>
                </a:schemeClr>
              </a:solidFill>
              <a:round/>
            </a:ln>
            <a:effectLst/>
          </c:spPr>
        </c:serLines>
      </c:of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_xlchart.v1.0</cx:f>
      </cx:strDim>
      <cx:numDim type="size">
        <cx:f>_xlchart.v1.1</cx:f>
      </cx:numDim>
    </cx:data>
  </cx:chartData>
  <cx:chart>
    <cx:plotArea>
      <cx:plotAreaRegion>
        <cx:series layoutId="treemap" uniqueId="{00000003-8D07-4D10-8438-BCB1E42DB279}" formatIdx="1">
          <cx:tx>
            <cx:txData>
              <cx:f>_xlchart.v1.1</cx:f>
              <cx:v>30.32M 32.14M 23.01M 24.24M #REF! #REF!</cx:v>
            </cx:txData>
          </cx:tx>
          <cx:spPr>
            <a:ln>
              <a:noFill/>
            </a:ln>
            <a:effectLst>
              <a:glow rad="63500">
                <a:schemeClr val="accent2">
                  <a:satMod val="175000"/>
                  <a:alpha val="40000"/>
                </a:schemeClr>
              </a:glow>
            </a:effectLst>
          </cx:spPr>
          <cx:dataLabels>
            <cx:txPr>
              <a:bodyPr spcFirstLastPara="1" vertOverflow="ellipsis" horzOverflow="overflow" wrap="square" lIns="38100" tIns="19050" rIns="38100" bIns="19050" anchor="ctr" anchorCtr="1">
                <a:spAutoFit/>
              </a:bodyPr>
              <a:lstStyle/>
              <a:p>
                <a:pPr algn="ctr" rtl="0">
                  <a:defRPr>
                    <a:solidFill>
                      <a:schemeClr val="tx1">
                        <a:lumMod val="95000"/>
                        <a:lumOff val="5000"/>
                      </a:schemeClr>
                    </a:solidFill>
                  </a:defRPr>
                </a:pPr>
                <a:endParaRPr lang="en-US" sz="900" b="0" i="0" u="none" strike="noStrike" baseline="0">
                  <a:solidFill>
                    <a:schemeClr val="tx1">
                      <a:lumMod val="95000"/>
                      <a:lumOff val="5000"/>
                    </a:schemeClr>
                  </a:solidFill>
                  <a:latin typeface="Calibri" panose="020F0502020204030204"/>
                </a:endParaRPr>
              </a:p>
            </cx:txPr>
            <cx:visibility seriesName="0" categoryName="1" value="1"/>
            <cx:separator>
</cx:separator>
          </cx:dataLabels>
          <cx:dataId val="0"/>
          <cx:layoutPr>
            <cx:parentLabelLayout val="overlapping"/>
          </cx:layoutPr>
        </cx:series>
      </cx:plotAreaRegion>
    </cx:plotArea>
  </cx:chart>
  <cx:spPr>
    <a:noFill/>
  </cx:spPr>
</cx:chartSpace>
</file>

<file path=xl/charts/colors1.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withinLinear" id="17">
  <a:schemeClr val="accent4"/>
</cs:colorStyle>
</file>

<file path=xl/charts/colors3.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dk1">
            <a:lumMod val="50000"/>
            <a:lumOff val="5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dk1">
            <a:lumMod val="50000"/>
            <a:lumOff val="50000"/>
          </a:schemeClr>
        </a:solidFill>
        <a:round/>
      </a:ln>
    </cs:spPr>
  </cs:gridlineMajor>
  <cs:gridlineMinor>
    <cs:lnRef idx="0"/>
    <cs:fillRef idx="0"/>
    <cs:effectRef idx="0"/>
    <cs:fontRef idx="minor">
      <a:schemeClr val="tx1"/>
    </cs:fontRef>
    <cs:spPr>
      <a:ln>
        <a:solidFill>
          <a:schemeClr val="dk1">
            <a:lumMod val="60000"/>
            <a:lumOff val="40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9525" cap="flat" cmpd="sng" algn="ctr">
        <a:solidFill>
          <a:schemeClr val="dk1">
            <a:lumMod val="50000"/>
            <a:lumOff val="50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418">
  <cs:axisTitle>
    <cs:lnRef idx="0"/>
    <cs:fillRef idx="0"/>
    <cs:effectRef idx="0"/>
    <cs:fontRef idx="minor">
      <a:schemeClr val="tx1">
        <a:lumMod val="50000"/>
        <a:lumOff val="50000"/>
      </a:schemeClr>
    </cs:fontRef>
    <cs:spPr>
      <a:solidFill>
        <a:schemeClr val="bg1">
          <a:lumMod val="85000"/>
        </a:schemeClr>
      </a:solidFill>
      <a:ln w="19050">
        <a:solidFill>
          <a:schemeClr val="bg1"/>
        </a:solidFill>
      </a:ln>
    </cs:spPr>
    <cs:defRPr sz="900"/>
  </cs:axisTitle>
  <cs:categoryAxis>
    <cs:lnRef idx="0"/>
    <cs:fillRef idx="0"/>
    <cs:effectRef idx="0"/>
    <cs:fontRef idx="minor">
      <a:schemeClr val="tx1">
        <a:lumMod val="50000"/>
        <a:lumOff val="50000"/>
      </a:schemeClr>
    </cs:fontRef>
    <cs:spPr>
      <a:ln w="19050" cap="flat" cmpd="sng" algn="ctr">
        <a:solidFill>
          <a:schemeClr val="tx1">
            <a:lumMod val="25000"/>
            <a:lumOff val="75000"/>
          </a:schemeClr>
        </a:solidFill>
        <a:round/>
      </a:ln>
    </cs:spPr>
    <cs:defRPr sz="9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cs:chartArea>
  <cs:dataLabel>
    <cs:lnRef idx="0"/>
    <cs:fillRef idx="0"/>
    <cs:effectRef idx="0"/>
    <cs:fontRef idx="minor">
      <a:schemeClr val="tx1">
        <a:lumMod val="75000"/>
        <a:lumOff val="25000"/>
      </a:schemeClr>
    </cs:fontRef>
    <cs:defRPr sz="900"/>
    <cs:bodyPr lIns="38100" tIns="19050" rIns="38100" bIns="19050">
      <a:spAutoFit/>
    </cs:bodyPr>
  </cs:dataLabel>
  <cs:dataLabelCallout>
    <cs:lnRef idx="0"/>
    <cs:fillRef idx="0"/>
    <cs:effectRef idx="0"/>
    <cs:fontRef idx="minor">
      <a:schemeClr val="dk1">
        <a:lumMod val="50000"/>
        <a:lumOff val="50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styleClr val="auto"/>
    </cs:effectRef>
    <cs:fontRef idx="minor">
      <a:schemeClr val="dk1"/>
    </cs:fontRef>
    <cs:spPr>
      <a:pattFill prst="ltUpDiag">
        <a:fgClr>
          <a:schemeClr val="phClr"/>
        </a:fgClr>
        <a:bgClr>
          <a:schemeClr val="phClr">
            <a:lumMod val="20000"/>
            <a:lumOff val="80000"/>
          </a:schemeClr>
        </a:bgClr>
      </a:pattFill>
      <a:ln w="9525">
        <a:solidFill>
          <a:schemeClr val="lt1"/>
        </a:solidFill>
      </a:ln>
      <a:effectLst>
        <a:innerShdw blurRad="114300">
          <a:schemeClr val="phClr"/>
        </a:innerShdw>
      </a:effectLst>
    </cs:spPr>
  </cs:dataPoint>
  <cs:dataPoint3D>
    <cs:lnRef idx="0"/>
    <cs:fillRef idx="0">
      <cs:styleClr val="auto"/>
    </cs:fillRef>
    <cs:effectRef idx="0"/>
    <cs:fontRef idx="minor">
      <a:schemeClr val="dk1"/>
    </cs:fontRef>
    <cs:spPr>
      <a:solidFill>
        <a:schemeClr val="phClr"/>
      </a:solidFill>
      <a:ln w="9525">
        <a:solidFill>
          <a:schemeClr val="lt1"/>
        </a:solidFill>
      </a:ln>
      <a:effectLst>
        <a:innerShdw blurRad="114300">
          <a:schemeClr val="phClr"/>
        </a:innerShdw>
      </a:effectLst>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dk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a:solidFill>
          <a:schemeClr val="tx1">
            <a:lumMod val="15000"/>
            <a:lumOff val="85000"/>
          </a:schemeClr>
        </a:solidFill>
      </a:ln>
    </cs:spPr>
  </cs:gridlineMajor>
  <cs:gridlineMinor>
    <cs:lnRef idx="0"/>
    <cs:fillRef idx="0"/>
    <cs:effectRef idx="0"/>
    <cs:fontRef idx="minor">
      <a:schemeClr val="dk1"/>
    </cs:fontRef>
    <cs:spPr>
      <a:ln>
        <a:solidFill>
          <a:schemeClr val="tx1">
            <a:lumMod val="5000"/>
            <a:lumOff val="95000"/>
            <a:lumOff val="10000"/>
          </a:schemeClr>
        </a:solidFill>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50000"/>
        <a:lumOff val="50000"/>
      </a:schemeClr>
    </cs:fontRef>
    <cs:spPr>
      <a:ln w="19050" cap="flat" cmpd="sng" algn="ctr">
        <a:solidFill>
          <a:schemeClr val="tx1">
            <a:lumMod val="25000"/>
            <a:lumOff val="75000"/>
          </a:schemeClr>
        </a:solidFill>
        <a:round/>
      </a:ln>
    </cs:spPr>
    <cs:defRPr sz="900"/>
  </cs:seriesAxis>
  <cs:seriesLine>
    <cs:lnRef idx="0"/>
    <cs:fillRef idx="0"/>
    <cs:effectRef idx="0"/>
    <cs:fontRef idx="minor">
      <a:schemeClr val="dk1"/>
    </cs:fontRef>
    <cs:spPr>
      <a:ln w="9525" cap="flat">
        <a:solidFill>
          <a:srgbClr val="D9D9D9"/>
        </a:solidFill>
        <a:round/>
      </a:ln>
    </cs:spPr>
  </cs:seriesLine>
  <cs:title>
    <cs:lnRef idx="0"/>
    <cs:fillRef idx="0"/>
    <cs:effectRef idx="0"/>
    <cs:fontRef idx="minor">
      <a:schemeClr val="tx1">
        <a:lumMod val="50000"/>
        <a:lumOff val="50000"/>
      </a:schemeClr>
    </cs:fontRef>
    <cs:defRPr sz="1800" b="1" cap="all" spc="15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tx1">
        <a:lumMod val="50000"/>
        <a:lumOff val="50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50000"/>
        <a:lumOff val="50000"/>
      </a:schemeClr>
    </cs:fontRef>
    <cs:defRPr sz="9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57">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261">
  <cs:axisTitle>
    <cs:lnRef idx="0"/>
    <cs:fillRef idx="0"/>
    <cs:effectRef idx="0"/>
    <cs:fontRef idx="minor">
      <a:schemeClr val="dk1">
        <a:lumMod val="65000"/>
        <a:lumOff val="35000"/>
      </a:schemeClr>
    </cs:fontRef>
    <cs:defRPr sz="900" kern="1200"/>
  </cs:axisTitle>
  <cs:categoryAxis>
    <cs:lnRef idx="0"/>
    <cs:fillRef idx="0"/>
    <cs:effectRef idx="0"/>
    <cs:fontRef idx="minor">
      <a:schemeClr val="dk1">
        <a:lumMod val="65000"/>
        <a:lumOff val="35000"/>
      </a:schemeClr>
    </cs:fontRef>
    <cs:defRPr sz="900" kern="1200"/>
  </cs:categoryAxis>
  <cs:chartArea>
    <cs:lnRef idx="0"/>
    <cs:fillRef idx="0"/>
    <cs:effectRef idx="0"/>
    <cs:fontRef idx="minor">
      <a:schemeClr val="dk1"/>
    </cs:fontRef>
    <cs:spPr>
      <a:pattFill prst="dkDnDiag">
        <a:fgClr>
          <a:schemeClr val="lt1">
            <a:lumMod val="95000"/>
          </a:schemeClr>
        </a:fgClr>
        <a:bgClr>
          <a:schemeClr val="lt1"/>
        </a:bgClr>
      </a:pattFill>
      <a:ln w="9525" cap="flat" cmpd="sng" algn="ctr">
        <a:solidFill>
          <a:schemeClr val="dk1">
            <a:lumMod val="15000"/>
            <a:lumOff val="8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dk1">
        <a:lumMod val="65000"/>
        <a:lumOff val="35000"/>
      </a:schemeClr>
    </cs:fontRef>
    <cs:spPr>
      <a:solidFill>
        <a:schemeClr val="lt1">
          <a:alpha val="75000"/>
        </a:schemeClr>
      </a:solidFill>
      <a:ln w="9525">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317500" algn="ctr" rotWithShape="0">
          <a:prstClr val="black">
            <a:alpha val="25000"/>
          </a:prstClr>
        </a:outerShdw>
      </a:effectLst>
    </cs:spPr>
  </cs:dataPoint>
  <cs:dataPoint3D>
    <cs:lnRef idx="0"/>
    <cs:fillRef idx="0">
      <cs:styleClr val="auto"/>
    </cs:fillRef>
    <cs:effectRef idx="0"/>
    <cs:fontRef idx="minor">
      <a:schemeClr val="dk1"/>
    </cs:fontRef>
    <cs:spPr>
      <a:solidFill>
        <a:schemeClr val="phClr"/>
      </a:solidFill>
      <a:effectLst>
        <a:outerShdw blurRad="88900" sx="102000" sy="102000" algn="ctr" rotWithShape="0">
          <a:prstClr val="black">
            <a:alpha val="20000"/>
          </a:prstClr>
        </a:outerShdw>
      </a:effectLst>
      <a:scene3d>
        <a:camera prst="orthographicFront"/>
        <a:lightRig rig="threePt" dir="t"/>
      </a:scene3d>
      <a:sp3d prstMaterial="matte"/>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noFill/>
      <a:ln w="9525" cap="flat" cmpd="sng" algn="ctr">
        <a:solidFill>
          <a:schemeClr val="dk1">
            <a:lumMod val="15000"/>
            <a:lumOff val="85000"/>
          </a:schemeClr>
        </a:solidFill>
        <a:round/>
      </a:ln>
    </cs:spPr>
    <cs:defRPr sz="9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65000"/>
            <a:lumOff val="35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65000"/>
            <a:lumOff val="35000"/>
          </a:schemeClr>
        </a:solidFill>
        <a:round/>
      </a:ln>
    </cs:spPr>
  </cs:errorBar>
  <cs:floor>
    <cs:lnRef idx="0"/>
    <cs:fillRef idx="0"/>
    <cs:effectRef idx="0"/>
    <cs:fontRef idx="minor">
      <a:schemeClr val="dk1"/>
    </cs:fontRef>
    <cs:spPr>
      <a:noFill/>
      <a:ln>
        <a:noFill/>
      </a:ln>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50000"/>
            <a:lumOff val="50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spPr>
      <a:solidFill>
        <a:schemeClr val="lt1">
          <a:alpha val="78000"/>
        </a:schemeClr>
      </a:solidFill>
    </cs:spPr>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inor">
      <a:schemeClr val="dk1">
        <a:lumMod val="65000"/>
        <a:lumOff val="35000"/>
      </a:schemeClr>
    </cs:fontRef>
    <cs:defRPr sz="1800" b="1" kern="120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65000"/>
            <a:lumOff val="35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wall>
</cs:chartStyle>
</file>

<file path=xl/diagrams/colors1.xml><?xml version="1.0" encoding="utf-8"?>
<dgm:colorsDef xmlns:dgm="http://schemas.openxmlformats.org/drawingml/2006/diagram" xmlns:a="http://schemas.openxmlformats.org/drawingml/2006/main" uniqueId="urn:microsoft.com/office/officeart/2005/8/colors/colorful5">
  <dgm:title val=""/>
  <dgm:desc val=""/>
  <dgm:catLst>
    <dgm:cat type="colorful" pri="10500"/>
  </dgm:catLst>
  <dgm:styleLbl name="node0">
    <dgm:fillClrLst meth="repeat">
      <a:schemeClr val="accent4"/>
    </dgm:fillClrLst>
    <dgm:linClrLst meth="repeat">
      <a:schemeClr val="lt1"/>
    </dgm:linClrLst>
    <dgm:effectClrLst/>
    <dgm:txLinClrLst/>
    <dgm:txFillClrLst/>
    <dgm:txEffectClrLst/>
  </dgm:styleLbl>
  <dgm:styleLbl name="node1">
    <dgm:fillClrLst>
      <a:schemeClr val="accent5"/>
      <a:schemeClr val="accent6"/>
    </dgm:fillClrLst>
    <dgm:linClrLst meth="repeat">
      <a:schemeClr val="lt1"/>
    </dgm:linClrLst>
    <dgm:effectClrLst/>
    <dgm:txLinClrLst/>
    <dgm:txFillClrLst/>
    <dgm:txEffectClrLst/>
  </dgm:styleLbl>
  <dgm:styleLbl name="alignNode1">
    <dgm:fillClrLst>
      <a:schemeClr val="accent5"/>
      <a:schemeClr val="accent6"/>
    </dgm:fillClrLst>
    <dgm:linClrLst>
      <a:schemeClr val="accent5"/>
      <a:schemeClr val="accent6"/>
    </dgm:linClrLst>
    <dgm:effectClrLst/>
    <dgm:txLinClrLst/>
    <dgm:txFillClrLst/>
    <dgm:txEffectClrLst/>
  </dgm:styleLbl>
  <dgm:styleLbl name="lnNode1">
    <dgm:fillClrLst>
      <a:schemeClr val="accent5"/>
      <a:schemeClr val="accent6"/>
    </dgm:fillClrLst>
    <dgm:linClrLst meth="repeat">
      <a:schemeClr val="lt1"/>
    </dgm:linClrLst>
    <dgm:effectClrLst/>
    <dgm:txLinClrLst/>
    <dgm:txFillClrLst/>
    <dgm:txEffectClrLst/>
  </dgm:styleLbl>
  <dgm:styleLbl name="vennNode1">
    <dgm:fillClrLst>
      <a:schemeClr val="accent5">
        <a:alpha val="50000"/>
      </a:schemeClr>
      <a:schemeClr val="accent6">
        <a:alpha val="50000"/>
      </a:schemeClr>
    </dgm:fillClrLst>
    <dgm:linClrLst meth="repeat">
      <a:schemeClr val="lt1"/>
    </dgm:linClrLst>
    <dgm:effectClrLst/>
    <dgm:txLinClrLst/>
    <dgm:txFillClrLst/>
    <dgm:txEffectClrLst/>
  </dgm:styleLbl>
  <dgm:styleLbl name="node2">
    <dgm:fillClrLst>
      <a:schemeClr val="accent6"/>
    </dgm:fillClrLst>
    <dgm:linClrLst meth="repeat">
      <a:schemeClr val="lt1"/>
    </dgm:linClrLst>
    <dgm:effectClrLst/>
    <dgm:txLinClrLst/>
    <dgm:txFillClrLst/>
    <dgm:txEffectClrLst/>
  </dgm:styleLbl>
  <dgm:styleLbl name="node3">
    <dgm:fillClrLst>
      <a:schemeClr val="accent1"/>
    </dgm:fillClrLst>
    <dgm:linClrLst meth="repeat">
      <a:schemeClr val="lt1"/>
    </dgm:linClrLst>
    <dgm:effectClrLst/>
    <dgm:txLinClrLst/>
    <dgm:txFillClrLst/>
    <dgm:txEffectClrLst/>
  </dgm:styleLbl>
  <dgm:styleLbl name="node4">
    <dgm:fillClrLst>
      <a:schemeClr val="accent2"/>
    </dgm:fillClrLst>
    <dgm:linClrLst meth="repeat">
      <a:schemeClr val="lt1"/>
    </dgm:linClrLst>
    <dgm:effectClrLst/>
    <dgm:txLinClrLst/>
    <dgm:txFillClrLst/>
    <dgm:txEffectClrLst/>
  </dgm:styleLbl>
  <dgm:styleLbl name="fgImgPlace1">
    <dgm:fillClrLst>
      <a:schemeClr val="accent5">
        <a:tint val="50000"/>
      </a:schemeClr>
      <a:schemeClr val="accent6">
        <a:tint val="50000"/>
      </a:schemeClr>
    </dgm:fillClrLst>
    <dgm:linClrLst meth="repeat">
      <a:schemeClr val="lt1"/>
    </dgm:linClrLst>
    <dgm:effectClrLst/>
    <dgm:txLinClrLst/>
    <dgm:txFillClrLst meth="repeat">
      <a:schemeClr val="lt1"/>
    </dgm:txFillClrLst>
    <dgm:txEffectClrLst/>
  </dgm:styleLbl>
  <dgm:styleLbl name="alignImgPlace1">
    <dgm:fillClrLst>
      <a:schemeClr val="accent5">
        <a:tint val="50000"/>
      </a:schemeClr>
      <a:schemeClr val="accent6">
        <a:tint val="20000"/>
      </a:schemeClr>
    </dgm:fillClrLst>
    <dgm:linClrLst meth="repeat">
      <a:schemeClr val="lt1"/>
    </dgm:linClrLst>
    <dgm:effectClrLst/>
    <dgm:txLinClrLst/>
    <dgm:txFillClrLst meth="repeat">
      <a:schemeClr val="lt1"/>
    </dgm:txFillClrLst>
    <dgm:txEffectClrLst/>
  </dgm:styleLbl>
  <dgm:styleLbl name="bgImgPlace1">
    <dgm:fillClrLst>
      <a:schemeClr val="accent5">
        <a:tint val="50000"/>
      </a:schemeClr>
      <a:schemeClr val="accent6">
        <a:tint val="20000"/>
      </a:schemeClr>
    </dgm:fillClrLst>
    <dgm:linClrLst meth="repeat">
      <a:schemeClr val="lt1"/>
    </dgm:linClrLst>
    <dgm:effectClrLst/>
    <dgm:txLinClrLst/>
    <dgm:txFillClrLst meth="repeat">
      <a:schemeClr val="lt1"/>
    </dgm:txFillClrLst>
    <dgm:txEffectClrLst/>
  </dgm:styleLbl>
  <dgm:styleLbl name="sibTrans2D1">
    <dgm:fillClrLst>
      <a:schemeClr val="accent5"/>
      <a:schemeClr val="accent6"/>
    </dgm:fillClrLst>
    <dgm:linClrLst meth="repeat">
      <a:schemeClr val="lt1"/>
    </dgm:linClrLst>
    <dgm:effectClrLst/>
    <dgm:txLinClrLst/>
    <dgm:txFillClrLst/>
    <dgm:txEffectClrLst/>
  </dgm:styleLbl>
  <dgm:styleLbl name="fgSibTrans2D1">
    <dgm:fillClrLst>
      <a:schemeClr val="accent5"/>
      <a:schemeClr val="accent6"/>
    </dgm:fillClrLst>
    <dgm:linClrLst meth="repeat">
      <a:schemeClr val="lt1"/>
    </dgm:linClrLst>
    <dgm:effectClrLst/>
    <dgm:txLinClrLst/>
    <dgm:txFillClrLst meth="repeat">
      <a:schemeClr val="lt1"/>
    </dgm:txFillClrLst>
    <dgm:txEffectClrLst/>
  </dgm:styleLbl>
  <dgm:styleLbl name="bgSibTrans2D1">
    <dgm:fillClrLst>
      <a:schemeClr val="accent5"/>
      <a:schemeClr val="accent6"/>
    </dgm:fillClrLst>
    <dgm:linClrLst meth="repeat">
      <a:schemeClr val="lt1"/>
    </dgm:linClrLst>
    <dgm:effectClrLst/>
    <dgm:txLinClrLst/>
    <dgm:txFillClrLst meth="repeat">
      <a:schemeClr val="lt1"/>
    </dgm:txFillClrLst>
    <dgm:txEffectClrLst/>
  </dgm:styleLbl>
  <dgm:styleLbl name="sibTrans1D1">
    <dgm:fillClrLst/>
    <dgm:linClrLst>
      <a:schemeClr val="accent5"/>
      <a:schemeClr val="accent6"/>
    </dgm:linClrLst>
    <dgm:effectClrLst/>
    <dgm:txLinClrLst/>
    <dgm:txFillClrLst meth="repeat">
      <a:schemeClr val="tx1"/>
    </dgm:txFillClrLst>
    <dgm:txEffectClrLst/>
  </dgm:styleLbl>
  <dgm:styleLbl name="callout">
    <dgm:fillClrLst meth="repeat">
      <a:schemeClr val="accent5"/>
    </dgm:fillClrLst>
    <dgm:linClrLst meth="repeat">
      <a:schemeClr val="accent5">
        <a:tint val="50000"/>
      </a:schemeClr>
    </dgm:linClrLst>
    <dgm:effectClrLst/>
    <dgm:txLinClrLst/>
    <dgm:txFillClrLst meth="repeat">
      <a:schemeClr val="tx1"/>
    </dgm:txFillClrLst>
    <dgm:txEffectClrLst/>
  </dgm:styleLbl>
  <dgm:styleLbl name="asst0">
    <dgm:fillClrLst meth="repeat">
      <a:schemeClr val="accent5"/>
    </dgm:fillClrLst>
    <dgm:linClrLst meth="repeat">
      <a:schemeClr val="lt1">
        <a:shade val="80000"/>
      </a:schemeClr>
    </dgm:linClrLst>
    <dgm:effectClrLst/>
    <dgm:txLinClrLst/>
    <dgm:txFillClrLst/>
    <dgm:txEffectClrLst/>
  </dgm:styleLbl>
  <dgm:styleLbl name="asst1">
    <dgm:fillClrLst meth="repeat">
      <a:schemeClr val="accent6"/>
    </dgm:fillClrLst>
    <dgm:linClrLst meth="repeat">
      <a:schemeClr val="lt1">
        <a:shade val="80000"/>
      </a:schemeClr>
    </dgm:linClrLst>
    <dgm:effectClrLst/>
    <dgm:txLinClrLst/>
    <dgm:txFillClrLst/>
    <dgm:txEffectClrLst/>
  </dgm:styleLbl>
  <dgm:styleLbl name="asst2">
    <dgm:fillClrLst>
      <a:schemeClr val="accent1"/>
    </dgm:fillClrLst>
    <dgm:linClrLst meth="repeat">
      <a:schemeClr val="lt1"/>
    </dgm:linClrLst>
    <dgm:effectClrLst/>
    <dgm:txLinClrLst/>
    <dgm:txFillClrLst/>
    <dgm:txEffectClrLst/>
  </dgm:styleLbl>
  <dgm:styleLbl name="asst3">
    <dgm:fillClrLst>
      <a:schemeClr val="accent2"/>
    </dgm:fillClrLst>
    <dgm:linClrLst meth="repeat">
      <a:schemeClr val="lt1"/>
    </dgm:linClrLst>
    <dgm:effectClrLst/>
    <dgm:txLinClrLst/>
    <dgm:txFillClrLst/>
    <dgm:txEffectClrLst/>
  </dgm:styleLbl>
  <dgm:styleLbl name="asst4">
    <dgm:fillClrLst>
      <a:schemeClr val="accent3"/>
    </dgm:fillClrLst>
    <dgm:linClrLst meth="repeat">
      <a:schemeClr val="lt1"/>
    </dgm:linClrLst>
    <dgm:effectClrLst/>
    <dgm:txLinClrLst/>
    <dgm:txFillClrLst/>
    <dgm:txEffectClrLst/>
  </dgm:styleLbl>
  <dgm:styleLbl name="parChTrans2D1">
    <dgm:fillClrLst meth="repeat">
      <a:schemeClr val="accent5"/>
    </dgm:fillClrLst>
    <dgm:linClrLst meth="repeat">
      <a:schemeClr val="lt1"/>
    </dgm:linClrLst>
    <dgm:effectClrLst/>
    <dgm:txLinClrLst/>
    <dgm:txFillClrLst meth="repeat">
      <a:schemeClr val="lt1"/>
    </dgm:txFillClrLst>
    <dgm:txEffectClrLst/>
  </dgm:styleLbl>
  <dgm:styleLbl name="parChTrans2D2">
    <dgm:fillClrLst meth="repeat">
      <a:schemeClr val="accent6"/>
    </dgm:fillClrLst>
    <dgm:linClrLst meth="repeat">
      <a:schemeClr val="lt1"/>
    </dgm:linClrLst>
    <dgm:effectClrLst/>
    <dgm:txLinClrLst/>
    <dgm:txFillClrLst/>
    <dgm:txEffectClrLst/>
  </dgm:styleLbl>
  <dgm:styleLbl name="parChTrans2D3">
    <dgm:fillClrLst meth="repeat">
      <a:schemeClr val="accent6"/>
    </dgm:fillClrLst>
    <dgm:linClrLst meth="repeat">
      <a:schemeClr val="lt1"/>
    </dgm:linClrLst>
    <dgm:effectClrLst/>
    <dgm:txLinClrLst/>
    <dgm:txFillClrLst/>
    <dgm:txEffectClrLst/>
  </dgm:styleLbl>
  <dgm:styleLbl name="parChTrans2D4">
    <dgm:fillClrLst meth="repeat">
      <a:schemeClr val="accent1"/>
    </dgm:fillClrLst>
    <dgm:linClrLst meth="repeat">
      <a:schemeClr val="lt1"/>
    </dgm:linClrLst>
    <dgm:effectClrLst/>
    <dgm:txLinClrLst/>
    <dgm:txFillClrLst meth="repeat">
      <a:schemeClr val="lt1"/>
    </dgm:txFillClrLst>
    <dgm:txEffectClrLst/>
  </dgm:styleLbl>
  <dgm:styleLbl name="parChTrans1D1">
    <dgm:fillClrLst meth="repeat">
      <a:schemeClr val="accent5"/>
    </dgm:fillClrLst>
    <dgm:linClrLst meth="repeat">
      <a:schemeClr val="accent5"/>
    </dgm:linClrLst>
    <dgm:effectClrLst/>
    <dgm:txLinClrLst/>
    <dgm:txFillClrLst meth="repeat">
      <a:schemeClr val="tx1"/>
    </dgm:txFillClrLst>
    <dgm:txEffectClrLst/>
  </dgm:styleLbl>
  <dgm:styleLbl name="parChTrans1D2">
    <dgm:fillClrLst meth="repeat">
      <a:schemeClr val="accent6">
        <a:tint val="90000"/>
      </a:schemeClr>
    </dgm:fillClrLst>
    <dgm:linClrLst meth="repeat">
      <a:schemeClr val="accent6"/>
    </dgm:linClrLst>
    <dgm:effectClrLst/>
    <dgm:txLinClrLst/>
    <dgm:txFillClrLst meth="repeat">
      <a:schemeClr val="tx1"/>
    </dgm:txFillClrLst>
    <dgm:txEffectClrLst/>
  </dgm:styleLbl>
  <dgm:styleLbl name="parChTrans1D3">
    <dgm:fillClrLst meth="repeat">
      <a:schemeClr val="accent6">
        <a:tint val="70000"/>
      </a:schemeClr>
    </dgm:fillClrLst>
    <dgm:linClrLst meth="repeat">
      <a:schemeClr val="accent1"/>
    </dgm:linClrLst>
    <dgm:effectClrLst/>
    <dgm:txLinClrLst/>
    <dgm:txFillClrLst meth="repeat">
      <a:schemeClr val="tx1"/>
    </dgm:txFillClrLst>
    <dgm:txEffectClrLst/>
  </dgm:styleLbl>
  <dgm:styleLbl name="parChTrans1D4">
    <dgm:fillClrLst meth="repeat">
      <a:schemeClr val="accent6">
        <a:tint val="50000"/>
      </a:schemeClr>
    </dgm:fillClrLst>
    <dgm:linClrLst meth="repeat">
      <a:schemeClr val="accent2"/>
    </dgm:linClrLst>
    <dgm:effectClrLst/>
    <dgm:txLinClrLst/>
    <dgm:txFillClrLst meth="repeat">
      <a:schemeClr val="tx1"/>
    </dgm:txFillClrLst>
    <dgm:txEffectClrLst/>
  </dgm:styleLbl>
  <dgm:styleLbl name="fgAcc1">
    <dgm:fillClrLst meth="repeat">
      <a:schemeClr val="lt1">
        <a:alpha val="90000"/>
      </a:schemeClr>
    </dgm:fillClrLst>
    <dgm:linClrLst>
      <a:schemeClr val="accent5"/>
      <a:schemeClr val="accent6"/>
    </dgm:linClrLst>
    <dgm:effectClrLst/>
    <dgm:txLinClrLst/>
    <dgm:txFillClrLst meth="repeat">
      <a:schemeClr val="dk1"/>
    </dgm:txFillClrLst>
    <dgm:txEffectClrLst/>
  </dgm:styleLbl>
  <dgm:styleLbl name="conFgAcc1">
    <dgm:fillClrLst meth="repeat">
      <a:schemeClr val="lt1">
        <a:alpha val="90000"/>
      </a:schemeClr>
    </dgm:fillClrLst>
    <dgm:linClrLst>
      <a:schemeClr val="accent5"/>
      <a:schemeClr val="accent6"/>
    </dgm:linClrLst>
    <dgm:effectClrLst/>
    <dgm:txLinClrLst/>
    <dgm:txFillClrLst meth="repeat">
      <a:schemeClr val="dk1"/>
    </dgm:txFillClrLst>
    <dgm:txEffectClrLst/>
  </dgm:styleLbl>
  <dgm:styleLbl name="alignAcc1">
    <dgm:fillClrLst meth="repeat">
      <a:schemeClr val="lt1">
        <a:alpha val="90000"/>
      </a:schemeClr>
    </dgm:fillClrLst>
    <dgm:linClrLst>
      <a:schemeClr val="accent5"/>
      <a:schemeClr val="accent6"/>
    </dgm:linClrLst>
    <dgm:effectClrLst/>
    <dgm:txLinClrLst/>
    <dgm:txFillClrLst meth="repeat">
      <a:schemeClr val="dk1"/>
    </dgm:txFillClrLst>
    <dgm:txEffectClrLst/>
  </dgm:styleLbl>
  <dgm:styleLbl name="trAlignAcc1">
    <dgm:fillClrLst meth="repeat">
      <a:schemeClr val="lt1">
        <a:alpha val="40000"/>
      </a:schemeClr>
    </dgm:fillClrLst>
    <dgm:linClrLst meth="repeat">
      <a:schemeClr val="accent5"/>
    </dgm:linClrLst>
    <dgm:effectClrLst/>
    <dgm:txLinClrLst/>
    <dgm:txFillClrLst meth="repeat">
      <a:schemeClr val="dk1"/>
    </dgm:txFillClrLst>
    <dgm:txEffectClrLst/>
  </dgm:styleLbl>
  <dgm:styleLbl name="bgAcc1">
    <dgm:fillClrLst meth="repeat">
      <a:schemeClr val="lt1">
        <a:alpha val="90000"/>
      </a:schemeClr>
    </dgm:fillClrLst>
    <dgm:linClrLst>
      <a:schemeClr val="accent5"/>
      <a:schemeClr val="accent6"/>
    </dgm:linClrLst>
    <dgm:effectClrLst/>
    <dgm:txLinClrLst/>
    <dgm:txFillClrLst meth="repeat">
      <a:schemeClr val="dk1"/>
    </dgm:txFillClrLst>
    <dgm:txEffectClrLst/>
  </dgm:styleLbl>
  <dgm:styleLbl name="solidFgAcc1">
    <dgm:fillClrLst meth="repeat">
      <a:schemeClr val="lt1"/>
    </dgm:fillClrLst>
    <dgm:linClrLst>
      <a:schemeClr val="accent5"/>
      <a:schemeClr val="accent6"/>
    </dgm:linClrLst>
    <dgm:effectClrLst/>
    <dgm:txLinClrLst/>
    <dgm:txFillClrLst meth="repeat">
      <a:schemeClr val="dk1"/>
    </dgm:txFillClrLst>
    <dgm:txEffectClrLst/>
  </dgm:styleLbl>
  <dgm:styleLbl name="solidAlignAcc1">
    <dgm:fillClrLst meth="repeat">
      <a:schemeClr val="lt1"/>
    </dgm:fillClrLst>
    <dgm:linClrLst>
      <a:schemeClr val="accent5"/>
      <a:schemeClr val="accent6"/>
    </dgm:linClrLst>
    <dgm:effectClrLst/>
    <dgm:txLinClrLst/>
    <dgm:txFillClrLst meth="repeat">
      <a:schemeClr val="dk1"/>
    </dgm:txFillClrLst>
    <dgm:txEffectClrLst/>
  </dgm:styleLbl>
  <dgm:styleLbl name="solidBgAcc1">
    <dgm:fillClrLst meth="repeat">
      <a:schemeClr val="lt1"/>
    </dgm:fillClrLst>
    <dgm:linClrLst>
      <a:schemeClr val="accent5"/>
      <a:schemeClr val="accent6"/>
    </dgm:linClrLst>
    <dgm:effectClrLst/>
    <dgm:txLinClrLst/>
    <dgm:txFillClrLst meth="repeat">
      <a:schemeClr val="dk1"/>
    </dgm:txFillClrLst>
    <dgm:txEffectClrLst/>
  </dgm:styleLbl>
  <dgm:styleLbl name="fgAccFollowNode1">
    <dgm:fillClrLst>
      <a:schemeClr val="accent5">
        <a:tint val="40000"/>
        <a:alpha val="90000"/>
      </a:schemeClr>
      <a:schemeClr val="accent6">
        <a:tint val="40000"/>
        <a:alpha val="90000"/>
      </a:schemeClr>
    </dgm:fillClrLst>
    <dgm:linClrLst>
      <a:schemeClr val="accent5">
        <a:tint val="40000"/>
        <a:alpha val="90000"/>
      </a:schemeClr>
      <a:schemeClr val="accent5">
        <a:tint val="40000"/>
        <a:alpha val="90000"/>
      </a:schemeClr>
    </dgm:linClrLst>
    <dgm:effectClrLst/>
    <dgm:txLinClrLst/>
    <dgm:txFillClrLst meth="repeat">
      <a:schemeClr val="dk1"/>
    </dgm:txFillClrLst>
    <dgm:txEffectClrLst/>
  </dgm:styleLbl>
  <dgm:styleLbl name="alignAccFollowNode1">
    <dgm:fillClrLst>
      <a:schemeClr val="accent5">
        <a:tint val="40000"/>
        <a:alpha val="90000"/>
      </a:schemeClr>
      <a:schemeClr val="accent6">
        <a:tint val="40000"/>
        <a:alpha val="90000"/>
      </a:schemeClr>
    </dgm:fillClrLst>
    <dgm:linClrLst>
      <a:schemeClr val="accent5">
        <a:tint val="40000"/>
        <a:alpha val="90000"/>
      </a:schemeClr>
      <a:schemeClr val="accent6">
        <a:tint val="40000"/>
        <a:alpha val="90000"/>
      </a:schemeClr>
    </dgm:linClrLst>
    <dgm:effectClrLst/>
    <dgm:txLinClrLst/>
    <dgm:txFillClrLst meth="repeat">
      <a:schemeClr val="dk1"/>
    </dgm:txFillClrLst>
    <dgm:txEffectClrLst/>
  </dgm:styleLbl>
  <dgm:styleLbl name="bgAccFollowNode1">
    <dgm:fillClrLst>
      <a:schemeClr val="accent5">
        <a:tint val="40000"/>
        <a:alpha val="90000"/>
      </a:schemeClr>
      <a:schemeClr val="accent6">
        <a:tint val="40000"/>
        <a:alpha val="90000"/>
      </a:schemeClr>
    </dgm:fillClrLst>
    <dgm:linClrLst>
      <a:schemeClr val="accent5">
        <a:tint val="40000"/>
        <a:alpha val="90000"/>
      </a:schemeClr>
      <a:schemeClr val="accent6">
        <a:tint val="40000"/>
        <a:alpha val="90000"/>
      </a:schemeClr>
    </dgm:linClrLst>
    <dgm:effectClrLst/>
    <dgm:txLinClrLst/>
    <dgm:txFillClrLst meth="repeat">
      <a:schemeClr val="dk1"/>
    </dgm:txFillClrLst>
    <dgm:txEffectClrLst/>
  </dgm:styleLbl>
  <dgm:styleLbl name="fgAcc0">
    <dgm:fillClrLst meth="repeat">
      <a:schemeClr val="lt1">
        <a:alpha val="90000"/>
      </a:schemeClr>
    </dgm:fillClrLst>
    <dgm:linClrLst>
      <a:schemeClr val="accent4"/>
    </dgm:linClrLst>
    <dgm:effectClrLst/>
    <dgm:txLinClrLst/>
    <dgm:txFillClrLst meth="repeat">
      <a:schemeClr val="dk1"/>
    </dgm:txFillClrLst>
    <dgm:txEffectClrLst/>
  </dgm:styleLbl>
  <dgm:styleLbl name="fgAcc2">
    <dgm:fillClrLst meth="repeat">
      <a:schemeClr val="lt1">
        <a:alpha val="90000"/>
      </a:schemeClr>
    </dgm:fillClrLst>
    <dgm:linClrLst>
      <a:schemeClr val="accent6"/>
    </dgm:linClrLst>
    <dgm:effectClrLst/>
    <dgm:txLinClrLst/>
    <dgm:txFillClrLst meth="repeat">
      <a:schemeClr val="dk1"/>
    </dgm:txFillClrLst>
    <dgm:txEffectClrLst/>
  </dgm:styleLbl>
  <dgm:styleLbl name="fgAcc3">
    <dgm:fillClrLst meth="repeat">
      <a:schemeClr val="lt1">
        <a:alpha val="90000"/>
      </a:schemeClr>
    </dgm:fillClrLst>
    <dgm:linClrLst>
      <a:schemeClr val="accent1"/>
    </dgm:linClrLst>
    <dgm:effectClrLst/>
    <dgm:txLinClrLst/>
    <dgm:txFillClrLst meth="repeat">
      <a:schemeClr val="dk1"/>
    </dgm:txFillClrLst>
    <dgm:txEffectClrLst/>
  </dgm:styleLbl>
  <dgm:styleLbl name="fgAcc4">
    <dgm:fillClrLst meth="repeat">
      <a:schemeClr val="lt1">
        <a:alpha val="90000"/>
      </a:schemeClr>
    </dgm:fillClrLst>
    <dgm:linClrLst>
      <a:schemeClr val="accent2"/>
    </dgm:linClrLst>
    <dgm:effectClrLst/>
    <dgm:txLinClrLst/>
    <dgm:txFillClrLst meth="repeat">
      <a:schemeClr val="dk1"/>
    </dgm:txFillClrLst>
    <dgm:txEffectClrLst/>
  </dgm:styleLbl>
  <dgm:styleLbl name="bgShp">
    <dgm:fillClrLst meth="repeat">
      <a:schemeClr val="accent5">
        <a:tint val="40000"/>
      </a:schemeClr>
    </dgm:fillClrLst>
    <dgm:linClrLst meth="repeat">
      <a:schemeClr val="dk1"/>
    </dgm:linClrLst>
    <dgm:effectClrLst/>
    <dgm:txLinClrLst/>
    <dgm:txFillClrLst meth="repeat">
      <a:schemeClr val="dk1"/>
    </dgm:txFillClrLst>
    <dgm:txEffectClrLst/>
  </dgm:styleLbl>
  <dgm:styleLbl name="dkBgShp">
    <dgm:fillClrLst meth="repeat">
      <a:schemeClr val="accent5">
        <a:shade val="90000"/>
      </a:schemeClr>
    </dgm:fillClrLst>
    <dgm:linClrLst meth="repeat">
      <a:schemeClr val="dk1"/>
    </dgm:linClrLst>
    <dgm:effectClrLst/>
    <dgm:txLinClrLst/>
    <dgm:txFillClrLst meth="repeat">
      <a:schemeClr val="lt1"/>
    </dgm:txFillClrLst>
    <dgm:txEffectClrLst/>
  </dgm:styleLbl>
  <dgm:styleLbl name="trBgShp">
    <dgm:fillClrLst meth="repeat">
      <a:schemeClr val="accent5">
        <a:tint val="50000"/>
        <a:alpha val="40000"/>
      </a:schemeClr>
    </dgm:fillClrLst>
    <dgm:linClrLst meth="repeat">
      <a:schemeClr val="accent5"/>
    </dgm:linClrLst>
    <dgm:effectClrLst/>
    <dgm:txLinClrLst/>
    <dgm:txFillClrLst meth="repeat">
      <a:schemeClr val="lt1"/>
    </dgm:txFillClrLst>
    <dgm:txEffectClrLst/>
  </dgm:styleLbl>
  <dgm:styleLbl name="fgShp">
    <dgm:fillClrLst meth="repeat">
      <a:schemeClr val="accent5">
        <a:tint val="40000"/>
      </a:schemeClr>
    </dgm:fillClrLst>
    <dgm:linClrLst meth="repeat">
      <a:schemeClr val="lt1"/>
    </dgm:linClrLst>
    <dgm:effectClrLst/>
    <dgm:txLinClrLst/>
    <dgm:txFillClrLst meth="repeat">
      <a:schemeClr val="dk1"/>
    </dgm:txFillClrLst>
    <dgm:txEffectClrLst/>
  </dgm:styleLbl>
  <dgm:styleLbl name="revTx">
    <dgm:fillClrLst meth="repeat">
      <a:schemeClr val="lt1">
        <a:alpha val="0"/>
      </a:schemeClr>
    </dgm:fillClrLst>
    <dgm:linClrLst meth="repeat">
      <a:schemeClr val="dk1">
        <a:alpha val="0"/>
      </a:schemeClr>
    </dgm:linClrLst>
    <dgm:effectClrLst/>
    <dgm:txLinClrLst/>
    <dgm:txFillClrLst meth="repeat">
      <a:schemeClr val="tx1"/>
    </dgm:txFillClrLst>
    <dgm:txEffectClrLst/>
  </dgm:styleLbl>
</dgm:colorsDef>
</file>

<file path=xl/diagrams/data1.xml><?xml version="1.0" encoding="utf-8"?>
<dgm:dataModel xmlns:dgm="http://schemas.openxmlformats.org/drawingml/2006/diagram" xmlns:a="http://schemas.openxmlformats.org/drawingml/2006/main">
  <dgm:ptLst>
    <dgm:pt modelId="{2A626446-567A-4EE1-94D8-41E9E99BABA7}" type="doc">
      <dgm:prSet loTypeId="urn:microsoft.com/office/officeart/2005/8/layout/venn3" loCatId="relationship" qsTypeId="urn:microsoft.com/office/officeart/2005/8/quickstyle/3d3" qsCatId="3D" csTypeId="urn:microsoft.com/office/officeart/2005/8/colors/colorful5" csCatId="colorful" phldr="1"/>
      <dgm:spPr/>
      <dgm:t>
        <a:bodyPr/>
        <a:lstStyle/>
        <a:p>
          <a:endParaRPr lang="en-US"/>
        </a:p>
      </dgm:t>
    </dgm:pt>
    <dgm:pt modelId="{0C56F57D-A02D-4E69-877F-708620428FB2}">
      <dgm:prSet phldrT="[Text]"/>
      <dgm:spPr/>
      <dgm:t>
        <a:bodyPr/>
        <a:lstStyle/>
        <a:p>
          <a:endParaRPr lang="en-US"/>
        </a:p>
      </dgm:t>
    </dgm:pt>
    <dgm:pt modelId="{D9871ABA-D291-40C0-9B05-717FD30A9706}" type="parTrans" cxnId="{C884BF85-9D52-4472-9C42-A52E3805FB04}">
      <dgm:prSet/>
      <dgm:spPr/>
      <dgm:t>
        <a:bodyPr/>
        <a:lstStyle/>
        <a:p>
          <a:endParaRPr lang="en-US"/>
        </a:p>
      </dgm:t>
    </dgm:pt>
    <dgm:pt modelId="{DFA121FF-F5EF-495F-8F7D-B82B49A87CBF}" type="sibTrans" cxnId="{C884BF85-9D52-4472-9C42-A52E3805FB04}">
      <dgm:prSet/>
      <dgm:spPr/>
      <dgm:t>
        <a:bodyPr/>
        <a:lstStyle/>
        <a:p>
          <a:endParaRPr lang="en-US"/>
        </a:p>
      </dgm:t>
    </dgm:pt>
    <dgm:pt modelId="{27E516DB-17C0-4655-A259-5D4A3D357343}">
      <dgm:prSet phldrT="[Text]"/>
      <dgm:spPr/>
      <dgm:t>
        <a:bodyPr/>
        <a:lstStyle/>
        <a:p>
          <a:endParaRPr lang="en-US"/>
        </a:p>
      </dgm:t>
    </dgm:pt>
    <dgm:pt modelId="{8EB0F7A7-9942-4ECD-8F90-3787B2F40FB5}" type="parTrans" cxnId="{C900F0A6-B58C-4E83-9452-4E52040C06B7}">
      <dgm:prSet/>
      <dgm:spPr/>
      <dgm:t>
        <a:bodyPr/>
        <a:lstStyle/>
        <a:p>
          <a:endParaRPr lang="en-US"/>
        </a:p>
      </dgm:t>
    </dgm:pt>
    <dgm:pt modelId="{1215D1FF-5BFB-4B65-8669-6D576A817F3F}" type="sibTrans" cxnId="{C900F0A6-B58C-4E83-9452-4E52040C06B7}">
      <dgm:prSet/>
      <dgm:spPr/>
      <dgm:t>
        <a:bodyPr/>
        <a:lstStyle/>
        <a:p>
          <a:endParaRPr lang="en-US"/>
        </a:p>
      </dgm:t>
    </dgm:pt>
    <dgm:pt modelId="{5A6B9F3A-BB9C-44E6-A0CE-56042BC5100E}">
      <dgm:prSet phldrT="[Text]" custT="1"/>
      <dgm:spPr>
        <a:solidFill>
          <a:srgbClr val="5B9BD5">
            <a:alpha val="50000"/>
            <a:hueOff val="0"/>
            <a:satOff val="0"/>
            <a:lumOff val="0"/>
            <a:alphaOff val="0"/>
          </a:srgbClr>
        </a:solidFill>
        <a:ln>
          <a:noFill/>
        </a:ln>
        <a:effectLst/>
        <a:scene3d>
          <a:camera prst="orthographicFront">
            <a:rot lat="0" lon="0" rev="0"/>
          </a:camera>
          <a:lightRig rig="contrasting" dir="t">
            <a:rot lat="0" lon="0" rev="1200000"/>
          </a:lightRig>
        </a:scene3d>
        <a:sp3d contourW="12700" prstMaterial="clear">
          <a:bevelT w="177800" h="254000"/>
          <a:bevelB w="152400"/>
        </a:sp3d>
      </dgm:spPr>
      <dgm:t>
        <a:bodyPr spcFirstLastPara="0" vert="horz" wrap="square" lIns="57264" tIns="59690" rIns="57264" bIns="59690" numCol="1" spcCol="1270" anchor="ctr" anchorCtr="0"/>
        <a:lstStyle/>
        <a:p>
          <a:pPr marL="0" lvl="0" indent="0" algn="ctr" defTabSz="2089150">
            <a:lnSpc>
              <a:spcPct val="90000"/>
            </a:lnSpc>
            <a:spcBef>
              <a:spcPct val="0"/>
            </a:spcBef>
            <a:spcAft>
              <a:spcPct val="35000"/>
            </a:spcAft>
            <a:buNone/>
          </a:pPr>
          <a:endParaRPr lang="en-US" sz="4700" kern="1200">
            <a:solidFill>
              <a:sysClr val="windowText" lastClr="000000"/>
            </a:solidFill>
            <a:latin typeface="Calibri" panose="020F0502020204030204"/>
            <a:ea typeface="+mn-ea"/>
            <a:cs typeface="+mn-cs"/>
          </a:endParaRPr>
        </a:p>
      </dgm:t>
    </dgm:pt>
    <dgm:pt modelId="{E96054D5-C17C-4C1B-BA73-36D481C33954}" type="parTrans" cxnId="{72B277B6-7DF1-4DAB-A746-AA65C1EABA75}">
      <dgm:prSet/>
      <dgm:spPr/>
      <dgm:t>
        <a:bodyPr/>
        <a:lstStyle/>
        <a:p>
          <a:endParaRPr lang="en-US"/>
        </a:p>
      </dgm:t>
    </dgm:pt>
    <dgm:pt modelId="{E04740B9-A987-4B03-9B45-F72568EBB5D9}" type="sibTrans" cxnId="{72B277B6-7DF1-4DAB-A746-AA65C1EABA75}">
      <dgm:prSet/>
      <dgm:spPr/>
      <dgm:t>
        <a:bodyPr/>
        <a:lstStyle/>
        <a:p>
          <a:endParaRPr lang="en-US"/>
        </a:p>
      </dgm:t>
    </dgm:pt>
    <dgm:pt modelId="{33CF9EE2-FCBB-4E0D-BD4F-9C8416901A25}">
      <dgm:prSet phldrT="[Text]"/>
      <dgm:spPr/>
      <dgm:t>
        <a:bodyPr/>
        <a:lstStyle/>
        <a:p>
          <a:endParaRPr lang="en-US"/>
        </a:p>
      </dgm:t>
    </dgm:pt>
    <dgm:pt modelId="{985860AB-B352-4E61-A193-4D0BF090DCDF}" type="parTrans" cxnId="{240856BA-770C-43CC-900B-60940807C13A}">
      <dgm:prSet/>
      <dgm:spPr/>
      <dgm:t>
        <a:bodyPr/>
        <a:lstStyle/>
        <a:p>
          <a:endParaRPr lang="en-US"/>
        </a:p>
      </dgm:t>
    </dgm:pt>
    <dgm:pt modelId="{305F7801-06CD-43DB-A87F-8778ED23C1B1}" type="sibTrans" cxnId="{240856BA-770C-43CC-900B-60940807C13A}">
      <dgm:prSet/>
      <dgm:spPr/>
      <dgm:t>
        <a:bodyPr/>
        <a:lstStyle/>
        <a:p>
          <a:endParaRPr lang="en-US"/>
        </a:p>
      </dgm:t>
    </dgm:pt>
    <dgm:pt modelId="{EE6112E3-6C97-44C0-A4E9-D25998DEFD79}" type="pres">
      <dgm:prSet presAssocID="{2A626446-567A-4EE1-94D8-41E9E99BABA7}" presName="Name0" presStyleCnt="0">
        <dgm:presLayoutVars>
          <dgm:dir/>
          <dgm:resizeHandles val="exact"/>
        </dgm:presLayoutVars>
      </dgm:prSet>
      <dgm:spPr/>
    </dgm:pt>
    <dgm:pt modelId="{B74DDB30-11C3-4ED1-9923-82E18E381933}" type="pres">
      <dgm:prSet presAssocID="{27E516DB-17C0-4655-A259-5D4A3D357343}" presName="Name5" presStyleLbl="vennNode1" presStyleIdx="0" presStyleCnt="4" custScaleX="127652" custScaleY="106796">
        <dgm:presLayoutVars>
          <dgm:bulletEnabled val="1"/>
        </dgm:presLayoutVars>
      </dgm:prSet>
      <dgm:spPr/>
    </dgm:pt>
    <dgm:pt modelId="{3BAAE833-74FA-482B-9B4F-FDD1E5F36021}" type="pres">
      <dgm:prSet presAssocID="{1215D1FF-5BFB-4B65-8669-6D576A817F3F}" presName="space" presStyleCnt="0"/>
      <dgm:spPr/>
    </dgm:pt>
    <dgm:pt modelId="{89E0B86D-DBBD-4643-B489-DDBFAC75375A}" type="pres">
      <dgm:prSet presAssocID="{5A6B9F3A-BB9C-44E6-A0CE-56042BC5100E}" presName="Name5" presStyleLbl="vennNode1" presStyleIdx="1" presStyleCnt="4" custScaleX="137241" custScaleY="117798">
        <dgm:presLayoutVars>
          <dgm:bulletEnabled val="1"/>
        </dgm:presLayoutVars>
      </dgm:prSet>
      <dgm:spPr>
        <a:xfrm>
          <a:off x="1120321" y="530658"/>
          <a:ext cx="1040533" cy="1040533"/>
        </a:xfrm>
        <a:prstGeom prst="ellipse">
          <a:avLst/>
        </a:prstGeom>
      </dgm:spPr>
    </dgm:pt>
    <dgm:pt modelId="{D88DB26A-5B8E-4E87-95D5-3631F4A86656}" type="pres">
      <dgm:prSet presAssocID="{E04740B9-A987-4B03-9B45-F72568EBB5D9}" presName="space" presStyleCnt="0"/>
      <dgm:spPr/>
    </dgm:pt>
    <dgm:pt modelId="{4849839F-8CE8-48A8-A685-E06D7BD7EA39}" type="pres">
      <dgm:prSet presAssocID="{33CF9EE2-FCBB-4E0D-BD4F-9C8416901A25}" presName="Name5" presStyleLbl="vennNode1" presStyleIdx="2" presStyleCnt="4" custScaleX="126437" custScaleY="122499">
        <dgm:presLayoutVars>
          <dgm:bulletEnabled val="1"/>
        </dgm:presLayoutVars>
      </dgm:prSet>
      <dgm:spPr/>
    </dgm:pt>
    <dgm:pt modelId="{A78C7225-0D0B-4AB5-AD95-44C9DE635A7F}" type="pres">
      <dgm:prSet presAssocID="{305F7801-06CD-43DB-A87F-8778ED23C1B1}" presName="space" presStyleCnt="0"/>
      <dgm:spPr/>
    </dgm:pt>
    <dgm:pt modelId="{40BF0E2B-043C-4A24-A851-0C60C321E319}" type="pres">
      <dgm:prSet presAssocID="{0C56F57D-A02D-4E69-877F-708620428FB2}" presName="Name5" presStyleLbl="vennNode1" presStyleIdx="3" presStyleCnt="4" custScaleX="128861" custScaleY="114456">
        <dgm:presLayoutVars>
          <dgm:bulletEnabled val="1"/>
        </dgm:presLayoutVars>
      </dgm:prSet>
      <dgm:spPr/>
    </dgm:pt>
  </dgm:ptLst>
  <dgm:cxnLst>
    <dgm:cxn modelId="{0D2BD312-627C-400A-AA4B-C0151C26DCBE}" type="presOf" srcId="{2A626446-567A-4EE1-94D8-41E9E99BABA7}" destId="{EE6112E3-6C97-44C0-A4E9-D25998DEFD79}" srcOrd="0" destOrd="0" presId="urn:microsoft.com/office/officeart/2005/8/layout/venn3"/>
    <dgm:cxn modelId="{705B0119-5532-4383-8392-6F6F00EC6F69}" type="presOf" srcId="{0C56F57D-A02D-4E69-877F-708620428FB2}" destId="{40BF0E2B-043C-4A24-A851-0C60C321E319}" srcOrd="0" destOrd="0" presId="urn:microsoft.com/office/officeart/2005/8/layout/venn3"/>
    <dgm:cxn modelId="{D1521E31-D498-462C-ADA0-2891485B8D96}" type="presOf" srcId="{33CF9EE2-FCBB-4E0D-BD4F-9C8416901A25}" destId="{4849839F-8CE8-48A8-A685-E06D7BD7EA39}" srcOrd="0" destOrd="0" presId="urn:microsoft.com/office/officeart/2005/8/layout/venn3"/>
    <dgm:cxn modelId="{A802235D-B4E2-4FF7-B64D-0C4487117D91}" type="presOf" srcId="{5A6B9F3A-BB9C-44E6-A0CE-56042BC5100E}" destId="{89E0B86D-DBBD-4643-B489-DDBFAC75375A}" srcOrd="0" destOrd="0" presId="urn:microsoft.com/office/officeart/2005/8/layout/venn3"/>
    <dgm:cxn modelId="{C884BF85-9D52-4472-9C42-A52E3805FB04}" srcId="{2A626446-567A-4EE1-94D8-41E9E99BABA7}" destId="{0C56F57D-A02D-4E69-877F-708620428FB2}" srcOrd="3" destOrd="0" parTransId="{D9871ABA-D291-40C0-9B05-717FD30A9706}" sibTransId="{DFA121FF-F5EF-495F-8F7D-B82B49A87CBF}"/>
    <dgm:cxn modelId="{C900F0A6-B58C-4E83-9452-4E52040C06B7}" srcId="{2A626446-567A-4EE1-94D8-41E9E99BABA7}" destId="{27E516DB-17C0-4655-A259-5D4A3D357343}" srcOrd="0" destOrd="0" parTransId="{8EB0F7A7-9942-4ECD-8F90-3787B2F40FB5}" sibTransId="{1215D1FF-5BFB-4B65-8669-6D576A817F3F}"/>
    <dgm:cxn modelId="{72B277B6-7DF1-4DAB-A746-AA65C1EABA75}" srcId="{2A626446-567A-4EE1-94D8-41E9E99BABA7}" destId="{5A6B9F3A-BB9C-44E6-A0CE-56042BC5100E}" srcOrd="1" destOrd="0" parTransId="{E96054D5-C17C-4C1B-BA73-36D481C33954}" sibTransId="{E04740B9-A987-4B03-9B45-F72568EBB5D9}"/>
    <dgm:cxn modelId="{240856BA-770C-43CC-900B-60940807C13A}" srcId="{2A626446-567A-4EE1-94D8-41E9E99BABA7}" destId="{33CF9EE2-FCBB-4E0D-BD4F-9C8416901A25}" srcOrd="2" destOrd="0" parTransId="{985860AB-B352-4E61-A193-4D0BF090DCDF}" sibTransId="{305F7801-06CD-43DB-A87F-8778ED23C1B1}"/>
    <dgm:cxn modelId="{53CB76C4-115B-4421-AD26-06D4D16D0366}" type="presOf" srcId="{27E516DB-17C0-4655-A259-5D4A3D357343}" destId="{B74DDB30-11C3-4ED1-9923-82E18E381933}" srcOrd="0" destOrd="0" presId="urn:microsoft.com/office/officeart/2005/8/layout/venn3"/>
    <dgm:cxn modelId="{B3DD8011-217B-4692-9EBC-DEED6A20B5FE}" type="presParOf" srcId="{EE6112E3-6C97-44C0-A4E9-D25998DEFD79}" destId="{B74DDB30-11C3-4ED1-9923-82E18E381933}" srcOrd="0" destOrd="0" presId="urn:microsoft.com/office/officeart/2005/8/layout/venn3"/>
    <dgm:cxn modelId="{90262534-CFFD-4B71-BB44-4930D5EC4430}" type="presParOf" srcId="{EE6112E3-6C97-44C0-A4E9-D25998DEFD79}" destId="{3BAAE833-74FA-482B-9B4F-FDD1E5F36021}" srcOrd="1" destOrd="0" presId="urn:microsoft.com/office/officeart/2005/8/layout/venn3"/>
    <dgm:cxn modelId="{A798BADA-B222-424F-B62C-3861BF82EC7B}" type="presParOf" srcId="{EE6112E3-6C97-44C0-A4E9-D25998DEFD79}" destId="{89E0B86D-DBBD-4643-B489-DDBFAC75375A}" srcOrd="2" destOrd="0" presId="urn:microsoft.com/office/officeart/2005/8/layout/venn3"/>
    <dgm:cxn modelId="{1C47698B-BAE7-449D-9D38-FA36D35FFCD0}" type="presParOf" srcId="{EE6112E3-6C97-44C0-A4E9-D25998DEFD79}" destId="{D88DB26A-5B8E-4E87-95D5-3631F4A86656}" srcOrd="3" destOrd="0" presId="urn:microsoft.com/office/officeart/2005/8/layout/venn3"/>
    <dgm:cxn modelId="{9323CDD4-BEB7-46FE-A3D2-CBE497865443}" type="presParOf" srcId="{EE6112E3-6C97-44C0-A4E9-D25998DEFD79}" destId="{4849839F-8CE8-48A8-A685-E06D7BD7EA39}" srcOrd="4" destOrd="0" presId="urn:microsoft.com/office/officeart/2005/8/layout/venn3"/>
    <dgm:cxn modelId="{66583DFB-5976-4986-B24D-B46D6489C0D0}" type="presParOf" srcId="{EE6112E3-6C97-44C0-A4E9-D25998DEFD79}" destId="{A78C7225-0D0B-4AB5-AD95-44C9DE635A7F}" srcOrd="5" destOrd="0" presId="urn:microsoft.com/office/officeart/2005/8/layout/venn3"/>
    <dgm:cxn modelId="{6EE1A5FC-4EC8-48FB-92F5-11632F939A8C}" type="presParOf" srcId="{EE6112E3-6C97-44C0-A4E9-D25998DEFD79}" destId="{40BF0E2B-043C-4A24-A851-0C60C321E319}" srcOrd="6" destOrd="0" presId="urn:microsoft.com/office/officeart/2005/8/layout/venn3"/>
  </dgm:cxnLst>
  <dgm:bg/>
  <dgm:whole/>
  <dgm:extLst>
    <a:ext uri="http://schemas.microsoft.com/office/drawing/2008/diagram">
      <dsp:dataModelExt xmlns:dsp="http://schemas.microsoft.com/office/drawing/2008/diagram" relId="rId13" minVer="http://schemas.openxmlformats.org/drawingml/2006/diagram"/>
    </a:ext>
  </dgm:extLst>
</dgm:dataModel>
</file>

<file path=xl/diagrams/drawing1.xml><?xml version="1.0" encoding="utf-8"?>
<dsp:drawing xmlns:dgm="http://schemas.openxmlformats.org/drawingml/2006/diagram" xmlns:dsp="http://schemas.microsoft.com/office/drawing/2008/diagram" xmlns:a="http://schemas.openxmlformats.org/drawingml/2006/main">
  <dsp:spTree>
    <dsp:nvGrpSpPr>
      <dsp:cNvPr id="0" name=""/>
      <dsp:cNvGrpSpPr/>
    </dsp:nvGrpSpPr>
    <dsp:grpSpPr/>
    <dsp:sp modelId="{B74DDB30-11C3-4ED1-9923-82E18E381933}">
      <dsp:nvSpPr>
        <dsp:cNvPr id="0" name=""/>
        <dsp:cNvSpPr/>
      </dsp:nvSpPr>
      <dsp:spPr>
        <a:xfrm>
          <a:off x="160" y="567329"/>
          <a:ext cx="1216791" cy="1017990"/>
        </a:xfrm>
        <a:prstGeom prst="ellipse">
          <a:avLst/>
        </a:prstGeom>
        <a:solidFill>
          <a:schemeClr val="accent5">
            <a:alpha val="50000"/>
            <a:hueOff val="0"/>
            <a:satOff val="0"/>
            <a:lumOff val="0"/>
            <a:alphaOff val="0"/>
          </a:schemeClr>
        </a:solidFill>
        <a:ln>
          <a:noFill/>
        </a:ln>
        <a:effectLst/>
        <a:scene3d>
          <a:camera prst="orthographicFront">
            <a:rot lat="0" lon="0" rev="0"/>
          </a:camera>
          <a:lightRig rig="contrasting" dir="t">
            <a:rot lat="0" lon="0" rev="1200000"/>
          </a:lightRig>
        </a:scene3d>
        <a:sp3d contourW="12700" prstMaterial="clear">
          <a:bevelT w="177800" h="254000"/>
          <a:bevelB w="152400"/>
        </a:sp3d>
      </dsp:spPr>
      <dsp:style>
        <a:lnRef idx="0">
          <a:scrgbClr r="0" g="0" b="0"/>
        </a:lnRef>
        <a:fillRef idx="1">
          <a:scrgbClr r="0" g="0" b="0"/>
        </a:fillRef>
        <a:effectRef idx="0">
          <a:scrgbClr r="0" g="0" b="0"/>
        </a:effectRef>
        <a:fontRef idx="minor">
          <a:schemeClr val="tx1"/>
        </a:fontRef>
      </dsp:style>
      <dsp:txBody>
        <a:bodyPr spcFirstLastPara="0" vert="horz" wrap="square" lIns="52458" tIns="54610" rIns="52458" bIns="54610" numCol="1" spcCol="1270" anchor="ctr" anchorCtr="0">
          <a:noAutofit/>
        </a:bodyPr>
        <a:lstStyle/>
        <a:p>
          <a:pPr marL="0" lvl="0" indent="0" algn="ctr" defTabSz="1911350">
            <a:lnSpc>
              <a:spcPct val="90000"/>
            </a:lnSpc>
            <a:spcBef>
              <a:spcPct val="0"/>
            </a:spcBef>
            <a:spcAft>
              <a:spcPct val="35000"/>
            </a:spcAft>
            <a:buNone/>
          </a:pPr>
          <a:endParaRPr lang="en-US" sz="4300" kern="1200"/>
        </a:p>
      </dsp:txBody>
      <dsp:txXfrm>
        <a:off x="178355" y="716410"/>
        <a:ext cx="860401" cy="719828"/>
      </dsp:txXfrm>
    </dsp:sp>
    <dsp:sp modelId="{89E0B86D-DBBD-4643-B489-DDBFAC75375A}">
      <dsp:nvSpPr>
        <dsp:cNvPr id="0" name=""/>
        <dsp:cNvSpPr/>
      </dsp:nvSpPr>
      <dsp:spPr>
        <a:xfrm>
          <a:off x="1026310" y="514893"/>
          <a:ext cx="1308194" cy="1122862"/>
        </a:xfrm>
        <a:prstGeom prst="ellipse">
          <a:avLst/>
        </a:prstGeom>
        <a:solidFill>
          <a:srgbClr val="5B9BD5">
            <a:alpha val="50000"/>
            <a:hueOff val="0"/>
            <a:satOff val="0"/>
            <a:lumOff val="0"/>
            <a:alphaOff val="0"/>
          </a:srgbClr>
        </a:solidFill>
        <a:ln>
          <a:noFill/>
        </a:ln>
        <a:effectLst/>
        <a:scene3d>
          <a:camera prst="orthographicFront">
            <a:rot lat="0" lon="0" rev="0"/>
          </a:camera>
          <a:lightRig rig="contrasting" dir="t">
            <a:rot lat="0" lon="0" rev="1200000"/>
          </a:lightRig>
        </a:scene3d>
        <a:sp3d contourW="12700" prstMaterial="clear">
          <a:bevelT w="177800" h="254000"/>
          <a:bevelB w="152400"/>
        </a:sp3d>
      </dsp:spPr>
      <dsp:style>
        <a:lnRef idx="0">
          <a:scrgbClr r="0" g="0" b="0"/>
        </a:lnRef>
        <a:fillRef idx="1">
          <a:scrgbClr r="0" g="0" b="0"/>
        </a:fillRef>
        <a:effectRef idx="0">
          <a:scrgbClr r="0" g="0" b="0"/>
        </a:effectRef>
        <a:fontRef idx="minor">
          <a:schemeClr val="tx1"/>
        </a:fontRef>
      </dsp:style>
      <dsp:txBody>
        <a:bodyPr spcFirstLastPara="0" vert="horz" wrap="square" lIns="57264" tIns="59690" rIns="57264" bIns="59690" numCol="1" spcCol="1270" anchor="ctr" anchorCtr="0">
          <a:noAutofit/>
        </a:bodyPr>
        <a:lstStyle/>
        <a:p>
          <a:pPr marL="0" lvl="0" indent="0" algn="ctr" defTabSz="2089150">
            <a:lnSpc>
              <a:spcPct val="90000"/>
            </a:lnSpc>
            <a:spcBef>
              <a:spcPct val="0"/>
            </a:spcBef>
            <a:spcAft>
              <a:spcPct val="35000"/>
            </a:spcAft>
            <a:buNone/>
          </a:pPr>
          <a:endParaRPr lang="en-US" sz="4700" kern="1200">
            <a:solidFill>
              <a:sysClr val="windowText" lastClr="000000"/>
            </a:solidFill>
            <a:latin typeface="Calibri" panose="020F0502020204030204"/>
            <a:ea typeface="+mn-ea"/>
            <a:cs typeface="+mn-cs"/>
          </a:endParaRPr>
        </a:p>
      </dsp:txBody>
      <dsp:txXfrm>
        <a:off x="1217891" y="679332"/>
        <a:ext cx="925032" cy="793984"/>
      </dsp:txXfrm>
    </dsp:sp>
    <dsp:sp modelId="{4849839F-8CE8-48A8-A685-E06D7BD7EA39}">
      <dsp:nvSpPr>
        <dsp:cNvPr id="0" name=""/>
        <dsp:cNvSpPr/>
      </dsp:nvSpPr>
      <dsp:spPr>
        <a:xfrm>
          <a:off x="2143863" y="492488"/>
          <a:ext cx="1205210" cy="1167672"/>
        </a:xfrm>
        <a:prstGeom prst="ellipse">
          <a:avLst/>
        </a:prstGeom>
        <a:solidFill>
          <a:schemeClr val="accent5">
            <a:alpha val="50000"/>
            <a:hueOff val="-4505695"/>
            <a:satOff val="-11613"/>
            <a:lumOff val="-7843"/>
            <a:alphaOff val="0"/>
          </a:schemeClr>
        </a:solidFill>
        <a:ln>
          <a:noFill/>
        </a:ln>
        <a:effectLst/>
        <a:scene3d>
          <a:camera prst="orthographicFront">
            <a:rot lat="0" lon="0" rev="0"/>
          </a:camera>
          <a:lightRig rig="contrasting" dir="t">
            <a:rot lat="0" lon="0" rev="1200000"/>
          </a:lightRig>
        </a:scene3d>
        <a:sp3d contourW="12700" prstMaterial="clear">
          <a:bevelT w="177800" h="254000"/>
          <a:bevelB w="152400"/>
        </a:sp3d>
      </dsp:spPr>
      <dsp:style>
        <a:lnRef idx="0">
          <a:scrgbClr r="0" g="0" b="0"/>
        </a:lnRef>
        <a:fillRef idx="1">
          <a:scrgbClr r="0" g="0" b="0"/>
        </a:fillRef>
        <a:effectRef idx="0">
          <a:scrgbClr r="0" g="0" b="0"/>
        </a:effectRef>
        <a:fontRef idx="minor">
          <a:schemeClr val="tx1"/>
        </a:fontRef>
      </dsp:style>
      <dsp:txBody>
        <a:bodyPr spcFirstLastPara="0" vert="horz" wrap="square" lIns="52458" tIns="63500" rIns="52458" bIns="63500" numCol="1" spcCol="1270" anchor="ctr" anchorCtr="0">
          <a:noAutofit/>
        </a:bodyPr>
        <a:lstStyle/>
        <a:p>
          <a:pPr marL="0" lvl="0" indent="0" algn="ctr" defTabSz="2222500">
            <a:lnSpc>
              <a:spcPct val="90000"/>
            </a:lnSpc>
            <a:spcBef>
              <a:spcPct val="0"/>
            </a:spcBef>
            <a:spcAft>
              <a:spcPct val="35000"/>
            </a:spcAft>
            <a:buNone/>
          </a:pPr>
          <a:endParaRPr lang="en-US" sz="5000" kern="1200"/>
        </a:p>
      </dsp:txBody>
      <dsp:txXfrm>
        <a:off x="2320362" y="663490"/>
        <a:ext cx="852212" cy="825668"/>
      </dsp:txXfrm>
    </dsp:sp>
    <dsp:sp modelId="{40BF0E2B-043C-4A24-A851-0C60C321E319}">
      <dsp:nvSpPr>
        <dsp:cNvPr id="0" name=""/>
        <dsp:cNvSpPr/>
      </dsp:nvSpPr>
      <dsp:spPr>
        <a:xfrm>
          <a:off x="3158431" y="530821"/>
          <a:ext cx="1228315" cy="1091006"/>
        </a:xfrm>
        <a:prstGeom prst="ellipse">
          <a:avLst/>
        </a:prstGeom>
        <a:solidFill>
          <a:schemeClr val="accent5">
            <a:alpha val="50000"/>
            <a:hueOff val="-6758543"/>
            <a:satOff val="-17419"/>
            <a:lumOff val="-11765"/>
            <a:alphaOff val="0"/>
          </a:schemeClr>
        </a:solidFill>
        <a:ln>
          <a:noFill/>
        </a:ln>
        <a:effectLst/>
        <a:scene3d>
          <a:camera prst="orthographicFront">
            <a:rot lat="0" lon="0" rev="0"/>
          </a:camera>
          <a:lightRig rig="contrasting" dir="t">
            <a:rot lat="0" lon="0" rev="1200000"/>
          </a:lightRig>
        </a:scene3d>
        <a:sp3d contourW="12700" prstMaterial="clear">
          <a:bevelT w="177800" h="254000"/>
          <a:bevelB w="152400"/>
        </a:sp3d>
      </dsp:spPr>
      <dsp:style>
        <a:lnRef idx="0">
          <a:scrgbClr r="0" g="0" b="0"/>
        </a:lnRef>
        <a:fillRef idx="1">
          <a:scrgbClr r="0" g="0" b="0"/>
        </a:fillRef>
        <a:effectRef idx="0">
          <a:scrgbClr r="0" g="0" b="0"/>
        </a:effectRef>
        <a:fontRef idx="minor">
          <a:schemeClr val="tx1"/>
        </a:fontRef>
      </dsp:style>
      <dsp:txBody>
        <a:bodyPr spcFirstLastPara="0" vert="horz" wrap="square" lIns="52458" tIns="58420" rIns="52458" bIns="58420" numCol="1" spcCol="1270" anchor="ctr" anchorCtr="0">
          <a:noAutofit/>
        </a:bodyPr>
        <a:lstStyle/>
        <a:p>
          <a:pPr marL="0" lvl="0" indent="0" algn="ctr" defTabSz="2044700">
            <a:lnSpc>
              <a:spcPct val="90000"/>
            </a:lnSpc>
            <a:spcBef>
              <a:spcPct val="0"/>
            </a:spcBef>
            <a:spcAft>
              <a:spcPct val="35000"/>
            </a:spcAft>
            <a:buNone/>
          </a:pPr>
          <a:endParaRPr lang="en-US" sz="4600" kern="1200"/>
        </a:p>
      </dsp:txBody>
      <dsp:txXfrm>
        <a:off x="3338314" y="690595"/>
        <a:ext cx="868549" cy="771458"/>
      </dsp:txXfrm>
    </dsp:sp>
  </dsp:spTree>
</dsp:drawing>
</file>

<file path=xl/diagrams/layout1.xml><?xml version="1.0" encoding="utf-8"?>
<dgm:layoutDef xmlns:dgm="http://schemas.openxmlformats.org/drawingml/2006/diagram" xmlns:a="http://schemas.openxmlformats.org/drawingml/2006/main" uniqueId="urn:microsoft.com/office/officeart/2005/8/layout/venn3">
  <dgm:title val=""/>
  <dgm:desc val=""/>
  <dgm:catLst>
    <dgm:cat type="relationship" pri="29000"/>
  </dgm:catLst>
  <dgm:sampData>
    <dgm:dataModel>
      <dgm:ptLst>
        <dgm:pt modelId="0" type="doc"/>
        <dgm:pt modelId="1">
          <dgm:prSet phldr="1"/>
        </dgm:pt>
        <dgm:pt modelId="2">
          <dgm:prSet phldr="1"/>
        </dgm:pt>
        <dgm:pt modelId="3">
          <dgm:prSet phldr="1"/>
        </dgm:pt>
        <dgm:pt modelId="4">
          <dgm:prSet phldr="1"/>
        </dgm:pt>
      </dgm:ptLst>
      <dgm:cxnLst>
        <dgm:cxn modelId="5" srcId="0" destId="1" srcOrd="0" destOrd="0"/>
        <dgm:cxn modelId="6" srcId="0" destId="2" srcOrd="1" destOrd="0"/>
        <dgm:cxn modelId="7" srcId="0" destId="3" srcOrd="2" destOrd="0"/>
        <dgm:cxn modelId="8" srcId="0" destId="4" srcOrd="3" destOrd="0"/>
      </dgm:cxnLst>
      <dgm:bg/>
      <dgm:whole/>
    </dgm:dataModel>
  </dgm:sampData>
  <dgm:styleData>
    <dgm:dataModel>
      <dgm:ptLst>
        <dgm:pt modelId="0" type="doc"/>
        <dgm:pt modelId="1"/>
        <dgm:pt modelId="2"/>
      </dgm:ptLst>
      <dgm:cxnLst>
        <dgm:cxn modelId="3" srcId="0" destId="1" srcOrd="0" destOrd="0"/>
        <dgm:cxn modelId="4" srcId="0" destId="2" srcOrd="1" destOrd="0"/>
      </dgm:cxnLst>
      <dgm:bg/>
      <dgm:whole/>
    </dgm:dataModel>
  </dgm:styleData>
  <dgm:clrData>
    <dgm:dataModel>
      <dgm:ptLst>
        <dgm:pt modelId="0" type="doc"/>
        <dgm:pt modelId="1"/>
        <dgm:pt modelId="2"/>
        <dgm:pt modelId="3"/>
        <dgm:pt modelId="4"/>
      </dgm:ptLst>
      <dgm:cxnLst>
        <dgm:cxn modelId="5" srcId="0" destId="1" srcOrd="0" destOrd="0"/>
        <dgm:cxn modelId="6" srcId="0" destId="2" srcOrd="1" destOrd="0"/>
        <dgm:cxn modelId="7" srcId="0" destId="3" srcOrd="2" destOrd="0"/>
        <dgm:cxn modelId="8" srcId="0" destId="4" srcOrd="3" destOrd="0"/>
      </dgm:cxnLst>
      <dgm:bg/>
      <dgm:whole/>
    </dgm:dataModel>
  </dgm:clrData>
  <dgm:layoutNode name="Name0">
    <dgm:varLst>
      <dgm:dir/>
      <dgm:resizeHandles val="exact"/>
    </dgm:varLst>
    <dgm:choose name="Name1">
      <dgm:if name="Name2" func="var" arg="dir" op="equ" val="norm">
        <dgm:alg type="lin">
          <dgm:param type="fallback" val="2D"/>
        </dgm:alg>
      </dgm:if>
      <dgm:else name="Name3">
        <dgm:alg type="lin">
          <dgm:param type="fallback" val="2D"/>
          <dgm:param type="linDir" val="fromR"/>
        </dgm:alg>
      </dgm:else>
    </dgm:choose>
    <dgm:shape xmlns:r="http://schemas.openxmlformats.org/officeDocument/2006/relationships" r:blip="">
      <dgm:adjLst/>
    </dgm:shape>
    <dgm:presOf/>
    <dgm:constrLst>
      <dgm:constr type="w" for="ch" ptType="node" refType="w"/>
      <dgm:constr type="h" for="ch" ptType="node" refType="w" refFor="ch" refPtType="node"/>
      <dgm:constr type="w" for="ch" forName="space" refType="w" refFor="ch" refPtType="node" fact="-0.2"/>
      <dgm:constr type="primFontSz" for="ch" ptType="node" op="equ" val="65"/>
    </dgm:constrLst>
    <dgm:ruleLst/>
    <dgm:forEach name="Name4" axis="ch" ptType="node">
      <dgm:layoutNode name="Name5" styleLbl="vennNode1">
        <dgm:varLst>
          <dgm:bulletEnabled val="1"/>
        </dgm:varLst>
        <dgm:alg type="tx">
          <dgm:param type="txAnchorVertCh" val="mid"/>
          <dgm:param type="txAnchorHorzCh" val="ctr"/>
        </dgm:alg>
        <dgm:shape xmlns:r="http://schemas.openxmlformats.org/officeDocument/2006/relationships" type="ellipse" r:blip="">
          <dgm:adjLst/>
        </dgm:shape>
        <dgm:presOf axis="desOrSelf" ptType="node"/>
        <dgm:constrLst>
          <dgm:constr type="tMarg" refType="primFontSz" fact="0.1"/>
          <dgm:constr type="bMarg" refType="primFontSz" fact="0.1"/>
          <dgm:constr type="lMarg" refType="w" fact="0.156"/>
          <dgm:constr type="rMarg" refType="w" fact="0.156"/>
        </dgm:constrLst>
        <dgm:ruleLst>
          <dgm:rule type="primFontSz" val="5" fact="NaN" max="NaN"/>
        </dgm:ruleLst>
      </dgm:layoutNode>
      <dgm:forEach name="Name6" axis="followSib" ptType="sibTrans" cnt="1">
        <dgm:layoutNode name="space">
          <dgm:alg type="sp"/>
          <dgm:shape xmlns:r="http://schemas.openxmlformats.org/officeDocument/2006/relationships" r:blip="">
            <dgm:adjLst/>
          </dgm:shape>
          <dgm:presOf/>
          <dgm:constrLst/>
          <dgm:ruleLst/>
        </dgm:layoutNode>
      </dgm:forEach>
    </dgm:forEach>
  </dgm:layoutNode>
</dgm:layoutDef>
</file>

<file path=xl/diagrams/quickStyle1.xml><?xml version="1.0" encoding="utf-8"?>
<dgm:styleDef xmlns:dgm="http://schemas.openxmlformats.org/drawingml/2006/diagram" xmlns:a="http://schemas.openxmlformats.org/drawingml/2006/main" uniqueId="urn:microsoft.com/office/officeart/2005/8/quickstyle/3d3">
  <dgm:title val=""/>
  <dgm:desc val=""/>
  <dgm:catLst>
    <dgm:cat type="3D" pri="11300"/>
  </dgm:catLst>
  <dgm:scene3d>
    <a:camera prst="orthographicFront"/>
    <a:lightRig rig="threePt" dir="t"/>
  </dgm:scene3d>
  <dgm:styleLbl name="node0">
    <dgm:scene3d>
      <a:camera prst="orthographicFront">
        <a:rot lat="0" lon="0" rev="0"/>
      </a:camera>
      <a:lightRig rig="contrasting" dir="t">
        <a:rot lat="0" lon="0" rev="1200000"/>
      </a:lightRig>
    </dgm:scene3d>
    <dgm:sp3d contourW="19050" prstMaterial="metal">
      <a:bevelT w="88900" h="203200"/>
      <a:bevelB w="165100" h="254000"/>
    </dgm:sp3d>
    <dgm:txPr/>
    <dgm:style>
      <a:lnRef idx="0">
        <a:scrgbClr r="0" g="0" b="0"/>
      </a:lnRef>
      <a:fillRef idx="1">
        <a:scrgbClr r="0" g="0" b="0"/>
      </a:fillRef>
      <a:effectRef idx="1">
        <a:scrgbClr r="0" g="0" b="0"/>
      </a:effectRef>
      <a:fontRef idx="minor">
        <a:schemeClr val="lt1"/>
      </a:fontRef>
    </dgm:style>
  </dgm:styleLbl>
  <dgm:styleLbl name="lnNode1">
    <dgm:scene3d>
      <a:camera prst="orthographicFront">
        <a:rot lat="0" lon="0" rev="0"/>
      </a:camera>
      <a:lightRig rig="contrasting" dir="t">
        <a:rot lat="0" lon="0" rev="1200000"/>
      </a:lightRig>
    </dgm:scene3d>
    <dgm:sp3d contourW="19050" prstMaterial="metal">
      <a:bevelT w="88900" h="203200"/>
      <a:bevelB w="165100" h="254000"/>
    </dgm:sp3d>
    <dgm:txPr/>
    <dgm:style>
      <a:lnRef idx="0">
        <a:scrgbClr r="0" g="0" b="0"/>
      </a:lnRef>
      <a:fillRef idx="1">
        <a:scrgbClr r="0" g="0" b="0"/>
      </a:fillRef>
      <a:effectRef idx="1">
        <a:scrgbClr r="0" g="0" b="0"/>
      </a:effectRef>
      <a:fontRef idx="minor">
        <a:schemeClr val="lt1"/>
      </a:fontRef>
    </dgm:style>
  </dgm:styleLbl>
  <dgm:styleLbl name="vennNode1">
    <dgm:scene3d>
      <a:camera prst="orthographicFront">
        <a:rot lat="0" lon="0" rev="0"/>
      </a:camera>
      <a:lightRig rig="contrasting" dir="t">
        <a:rot lat="0" lon="0" rev="1200000"/>
      </a:lightRig>
    </dgm:scene3d>
    <dgm:sp3d contourW="12700" prstMaterial="clear">
      <a:bevelT w="177800" h="254000"/>
      <a:bevelB w="152400"/>
    </dgm:sp3d>
    <dgm:txPr/>
    <dgm:style>
      <a:lnRef idx="0">
        <a:scrgbClr r="0" g="0" b="0"/>
      </a:lnRef>
      <a:fillRef idx="1">
        <a:scrgbClr r="0" g="0" b="0"/>
      </a:fillRef>
      <a:effectRef idx="0">
        <a:scrgbClr r="0" g="0" b="0"/>
      </a:effectRef>
      <a:fontRef idx="minor">
        <a:schemeClr val="tx1"/>
      </a:fontRef>
    </dgm:style>
  </dgm:styleLbl>
  <dgm:styleLbl name="alignNode1">
    <dgm:scene3d>
      <a:camera prst="orthographicFront">
        <a:rot lat="0" lon="0" rev="0"/>
      </a:camera>
      <a:lightRig rig="contrasting" dir="t">
        <a:rot lat="0" lon="0" rev="1200000"/>
      </a:lightRig>
    </dgm:scene3d>
    <dgm:sp3d contourW="19050" prstMaterial="metal">
      <a:bevelT w="88900" h="203200"/>
      <a:bevelB w="165100" h="254000"/>
    </dgm:sp3d>
    <dgm:txPr/>
    <dgm:style>
      <a:lnRef idx="0">
        <a:scrgbClr r="0" g="0" b="0"/>
      </a:lnRef>
      <a:fillRef idx="1">
        <a:scrgbClr r="0" g="0" b="0"/>
      </a:fillRef>
      <a:effectRef idx="2">
        <a:scrgbClr r="0" g="0" b="0"/>
      </a:effectRef>
      <a:fontRef idx="minor">
        <a:schemeClr val="lt1"/>
      </a:fontRef>
    </dgm:style>
  </dgm:styleLbl>
  <dgm:styleLbl name="node1">
    <dgm:scene3d>
      <a:camera prst="orthographicFront">
        <a:rot lat="0" lon="0" rev="0"/>
      </a:camera>
      <a:lightRig rig="contrasting" dir="t">
        <a:rot lat="0" lon="0" rev="1200000"/>
      </a:lightRig>
    </dgm:scene3d>
    <dgm:sp3d contourW="19050" prstMaterial="metal">
      <a:bevelT w="88900" h="203200"/>
      <a:bevelB w="165100" h="254000"/>
    </dgm:sp3d>
    <dgm:txPr/>
    <dgm:style>
      <a:lnRef idx="0">
        <a:scrgbClr r="0" g="0" b="0"/>
      </a:lnRef>
      <a:fillRef idx="1">
        <a:scrgbClr r="0" g="0" b="0"/>
      </a:fillRef>
      <a:effectRef idx="2">
        <a:scrgbClr r="0" g="0" b="0"/>
      </a:effectRef>
      <a:fontRef idx="minor">
        <a:schemeClr val="lt1"/>
      </a:fontRef>
    </dgm:style>
  </dgm:styleLbl>
  <dgm:styleLbl name="node2">
    <dgm:scene3d>
      <a:camera prst="orthographicFront">
        <a:rot lat="0" lon="0" rev="0"/>
      </a:camera>
      <a:lightRig rig="contrasting" dir="t">
        <a:rot lat="0" lon="0" rev="1200000"/>
      </a:lightRig>
    </dgm:scene3d>
    <dgm:sp3d contourW="19050" prstMaterial="metal">
      <a:bevelT w="88900" h="203200"/>
      <a:bevelB w="165100" h="254000"/>
    </dgm:sp3d>
    <dgm:txPr/>
    <dgm:style>
      <a:lnRef idx="0">
        <a:scrgbClr r="0" g="0" b="0"/>
      </a:lnRef>
      <a:fillRef idx="1">
        <a:scrgbClr r="0" g="0" b="0"/>
      </a:fillRef>
      <a:effectRef idx="1">
        <a:scrgbClr r="0" g="0" b="0"/>
      </a:effectRef>
      <a:fontRef idx="minor">
        <a:schemeClr val="lt1"/>
      </a:fontRef>
    </dgm:style>
  </dgm:styleLbl>
  <dgm:styleLbl name="node3">
    <dgm:scene3d>
      <a:camera prst="orthographicFront">
        <a:rot lat="0" lon="0" rev="0"/>
      </a:camera>
      <a:lightRig rig="contrasting" dir="t">
        <a:rot lat="0" lon="0" rev="1200000"/>
      </a:lightRig>
    </dgm:scene3d>
    <dgm:sp3d contourW="19050" prstMaterial="metal">
      <a:bevelT w="88900" h="203200"/>
      <a:bevelB w="165100" h="254000"/>
    </dgm:sp3d>
    <dgm:txPr/>
    <dgm:style>
      <a:lnRef idx="0">
        <a:scrgbClr r="0" g="0" b="0"/>
      </a:lnRef>
      <a:fillRef idx="1">
        <a:scrgbClr r="0" g="0" b="0"/>
      </a:fillRef>
      <a:effectRef idx="1">
        <a:scrgbClr r="0" g="0" b="0"/>
      </a:effectRef>
      <a:fontRef idx="minor">
        <a:schemeClr val="lt1"/>
      </a:fontRef>
    </dgm:style>
  </dgm:styleLbl>
  <dgm:styleLbl name="node4">
    <dgm:scene3d>
      <a:camera prst="orthographicFront">
        <a:rot lat="0" lon="0" rev="0"/>
      </a:camera>
      <a:lightRig rig="contrasting" dir="t">
        <a:rot lat="0" lon="0" rev="1200000"/>
      </a:lightRig>
    </dgm:scene3d>
    <dgm:sp3d contourW="19050" prstMaterial="metal">
      <a:bevelT w="88900" h="203200"/>
      <a:bevelB w="165100" h="254000"/>
    </dgm:sp3d>
    <dgm:txPr/>
    <dgm:style>
      <a:lnRef idx="0">
        <a:scrgbClr r="0" g="0" b="0"/>
      </a:lnRef>
      <a:fillRef idx="1">
        <a:scrgbClr r="0" g="0" b="0"/>
      </a:fillRef>
      <a:effectRef idx="1">
        <a:scrgbClr r="0" g="0" b="0"/>
      </a:effectRef>
      <a:fontRef idx="minor">
        <a:schemeClr val="lt1"/>
      </a:fontRef>
    </dgm:style>
  </dgm:styleLbl>
  <dgm:styleLbl name="fgImgPlace1">
    <dgm:scene3d>
      <a:camera prst="orthographicFront">
        <a:rot lat="0" lon="0" rev="0"/>
      </a:camera>
      <a:lightRig rig="contrasting" dir="t">
        <a:rot lat="0" lon="0" rev="1200000"/>
      </a:lightRig>
    </dgm:scene3d>
    <dgm:sp3d z="300000" contourW="19050" prstMaterial="metal">
      <a:bevelT w="88900" h="203200"/>
      <a:bevelB w="165100" h="254000"/>
    </dgm:sp3d>
    <dgm:txPr/>
    <dgm:style>
      <a:lnRef idx="0">
        <a:scrgbClr r="0" g="0" b="0"/>
      </a:lnRef>
      <a:fillRef idx="1">
        <a:scrgbClr r="0" g="0" b="0"/>
      </a:fillRef>
      <a:effectRef idx="1">
        <a:scrgbClr r="0" g="0" b="0"/>
      </a:effectRef>
      <a:fontRef idx="minor"/>
    </dgm:style>
  </dgm:styleLbl>
  <dgm:styleLbl name="alignImgPlace1">
    <dgm:scene3d>
      <a:camera prst="orthographicFront">
        <a:rot lat="0" lon="0" rev="0"/>
      </a:camera>
      <a:lightRig rig="contrasting" dir="t">
        <a:rot lat="0" lon="0" rev="1200000"/>
      </a:lightRig>
    </dgm:scene3d>
    <dgm:sp3d contourW="12700" prstMaterial="flat">
      <a:bevelT w="177800" h="254000"/>
      <a:bevelB w="152400"/>
    </dgm:sp3d>
    <dgm:txPr/>
    <dgm:style>
      <a:lnRef idx="0">
        <a:scrgbClr r="0" g="0" b="0"/>
      </a:lnRef>
      <a:fillRef idx="1">
        <a:scrgbClr r="0" g="0" b="0"/>
      </a:fillRef>
      <a:effectRef idx="1">
        <a:scrgbClr r="0" g="0" b="0"/>
      </a:effectRef>
      <a:fontRef idx="minor"/>
    </dgm:style>
  </dgm:styleLbl>
  <dgm:styleLbl name="bgImgPlace1">
    <dgm:scene3d>
      <a:camera prst="orthographicFront">
        <a:rot lat="0" lon="0" rev="0"/>
      </a:camera>
      <a:lightRig rig="contrasting" dir="t">
        <a:rot lat="0" lon="0" rev="1200000"/>
      </a:lightRig>
    </dgm:scene3d>
    <dgm:sp3d z="-300000" contourW="19050" prstMaterial="metal">
      <a:bevelT w="88900" h="203200"/>
      <a:bevelB w="165100" h="254000"/>
    </dgm:sp3d>
    <dgm:txPr/>
    <dgm:style>
      <a:lnRef idx="0">
        <a:scrgbClr r="0" g="0" b="0"/>
      </a:lnRef>
      <a:fillRef idx="1">
        <a:scrgbClr r="0" g="0" b="0"/>
      </a:fillRef>
      <a:effectRef idx="1">
        <a:scrgbClr r="0" g="0" b="0"/>
      </a:effectRef>
      <a:fontRef idx="minor"/>
    </dgm:style>
  </dgm:styleLbl>
  <dgm:styleLbl name="sibTrans2D1">
    <dgm:scene3d>
      <a:camera prst="orthographicFront">
        <a:rot lat="0" lon="0" rev="0"/>
      </a:camera>
      <a:lightRig rig="contrasting" dir="t">
        <a:rot lat="0" lon="0" rev="1200000"/>
      </a:lightRig>
    </dgm:scene3d>
    <dgm:sp3d z="-182000" contourW="19050" prstMaterial="metal">
      <a:bevelT w="88900" h="203200"/>
      <a:bevelB w="165100" h="254000"/>
    </dgm:sp3d>
    <dgm:txPr/>
    <dgm:style>
      <a:lnRef idx="0">
        <a:scrgbClr r="0" g="0" b="0"/>
      </a:lnRef>
      <a:fillRef idx="1">
        <a:scrgbClr r="0" g="0" b="0"/>
      </a:fillRef>
      <a:effectRef idx="0">
        <a:scrgbClr r="0" g="0" b="0"/>
      </a:effectRef>
      <a:fontRef idx="minor">
        <a:schemeClr val="lt1"/>
      </a:fontRef>
    </dgm:style>
  </dgm:styleLbl>
  <dgm:styleLbl name="fgSibTrans2D1">
    <dgm:scene3d>
      <a:camera prst="orthographicFront">
        <a:rot lat="0" lon="0" rev="0"/>
      </a:camera>
      <a:lightRig rig="contrasting" dir="t">
        <a:rot lat="0" lon="0" rev="1200000"/>
      </a:lightRig>
    </dgm:scene3d>
    <dgm:sp3d z="300000" contourW="19050" prstMaterial="metal">
      <a:bevelT w="88900" h="203200"/>
      <a:bevelB w="165100" h="254000"/>
    </dgm:sp3d>
    <dgm:txPr/>
    <dgm:style>
      <a:lnRef idx="0">
        <a:scrgbClr r="0" g="0" b="0"/>
      </a:lnRef>
      <a:fillRef idx="1">
        <a:scrgbClr r="0" g="0" b="0"/>
      </a:fillRef>
      <a:effectRef idx="0">
        <a:scrgbClr r="0" g="0" b="0"/>
      </a:effectRef>
      <a:fontRef idx="minor"/>
    </dgm:style>
  </dgm:styleLbl>
  <dgm:styleLbl name="bgSibTrans2D1">
    <dgm:scene3d>
      <a:camera prst="orthographicFront">
        <a:rot lat="0" lon="0" rev="0"/>
      </a:camera>
      <a:lightRig rig="contrasting" dir="t">
        <a:rot lat="0" lon="0" rev="1200000"/>
      </a:lightRig>
    </dgm:scene3d>
    <dgm:sp3d z="-300000" contourW="19050" prstMaterial="metal">
      <a:bevelT w="88900" h="203200"/>
      <a:bevelB w="165100" h="254000"/>
    </dgm:sp3d>
    <dgm:txPr/>
    <dgm:style>
      <a:lnRef idx="0">
        <a:scrgbClr r="0" g="0" b="0"/>
      </a:lnRef>
      <a:fillRef idx="1">
        <a:scrgbClr r="0" g="0" b="0"/>
      </a:fillRef>
      <a:effectRef idx="0">
        <a:scrgbClr r="0" g="0" b="0"/>
      </a:effectRef>
      <a:fontRef idx="minor"/>
    </dgm:style>
  </dgm:styleLbl>
  <dgm:styleLbl name="sibTrans1D1">
    <dgm:scene3d>
      <a:camera prst="orthographicFront">
        <a:rot lat="0" lon="0" rev="0"/>
      </a:camera>
      <a:lightRig rig="contrasting" dir="t">
        <a:rot lat="0" lon="0" rev="1200000"/>
      </a:lightRig>
    </dgm:scene3d>
    <dgm:sp3d z="-110000"/>
    <dgm:txPr/>
    <dgm:style>
      <a:lnRef idx="1">
        <a:scrgbClr r="0" g="0" b="0"/>
      </a:lnRef>
      <a:fillRef idx="0">
        <a:scrgbClr r="0" g="0" b="0"/>
      </a:fillRef>
      <a:effectRef idx="0">
        <a:scrgbClr r="0" g="0" b="0"/>
      </a:effectRef>
      <a:fontRef idx="minor"/>
    </dgm:style>
  </dgm:styleLbl>
  <dgm:styleLbl name="callout">
    <dgm:scene3d>
      <a:camera prst="orthographicFront">
        <a:rot lat="0" lon="0" rev="0"/>
      </a:camera>
      <a:lightRig rig="contrasting" dir="t">
        <a:rot lat="0" lon="0" rev="1200000"/>
      </a:lightRig>
    </dgm:scene3d>
    <dgm:sp3d z="10000"/>
    <dgm:txPr/>
    <dgm:style>
      <a:lnRef idx="2">
        <a:scrgbClr r="0" g="0" b="0"/>
      </a:lnRef>
      <a:fillRef idx="1">
        <a:scrgbClr r="0" g="0" b="0"/>
      </a:fillRef>
      <a:effectRef idx="0">
        <a:scrgbClr r="0" g="0" b="0"/>
      </a:effectRef>
      <a:fontRef idx="minor"/>
    </dgm:style>
  </dgm:styleLbl>
  <dgm:styleLbl name="asst0">
    <dgm:scene3d>
      <a:camera prst="orthographicFront">
        <a:rot lat="0" lon="0" rev="0"/>
      </a:camera>
      <a:lightRig rig="contrasting" dir="t">
        <a:rot lat="0" lon="0" rev="1200000"/>
      </a:lightRig>
    </dgm:scene3d>
    <dgm:sp3d contourW="19050" prstMaterial="metal">
      <a:bevelT w="88900" h="203200"/>
      <a:bevelB w="165100" h="254000"/>
    </dgm:sp3d>
    <dgm:txPr/>
    <dgm:style>
      <a:lnRef idx="0">
        <a:scrgbClr r="0" g="0" b="0"/>
      </a:lnRef>
      <a:fillRef idx="1">
        <a:scrgbClr r="0" g="0" b="0"/>
      </a:fillRef>
      <a:effectRef idx="1">
        <a:scrgbClr r="0" g="0" b="0"/>
      </a:effectRef>
      <a:fontRef idx="minor">
        <a:schemeClr val="lt1"/>
      </a:fontRef>
    </dgm:style>
  </dgm:styleLbl>
  <dgm:styleLbl name="asst1">
    <dgm:scene3d>
      <a:camera prst="orthographicFront">
        <a:rot lat="0" lon="0" rev="0"/>
      </a:camera>
      <a:lightRig rig="contrasting" dir="t">
        <a:rot lat="0" lon="0" rev="1200000"/>
      </a:lightRig>
    </dgm:scene3d>
    <dgm:sp3d contourW="19050" prstMaterial="metal">
      <a:bevelT w="88900" h="203200"/>
      <a:bevelB w="165100" h="254000"/>
    </dgm:sp3d>
    <dgm:txPr/>
    <dgm:style>
      <a:lnRef idx="0">
        <a:scrgbClr r="0" g="0" b="0"/>
      </a:lnRef>
      <a:fillRef idx="1">
        <a:scrgbClr r="0" g="0" b="0"/>
      </a:fillRef>
      <a:effectRef idx="1">
        <a:scrgbClr r="0" g="0" b="0"/>
      </a:effectRef>
      <a:fontRef idx="minor">
        <a:schemeClr val="lt1"/>
      </a:fontRef>
    </dgm:style>
  </dgm:styleLbl>
  <dgm:styleLbl name="asst2">
    <dgm:scene3d>
      <a:camera prst="orthographicFront">
        <a:rot lat="0" lon="0" rev="0"/>
      </a:camera>
      <a:lightRig rig="contrasting" dir="t">
        <a:rot lat="0" lon="0" rev="1200000"/>
      </a:lightRig>
    </dgm:scene3d>
    <dgm:sp3d contourW="19050" prstMaterial="metal">
      <a:bevelT w="88900" h="203200"/>
      <a:bevelB w="165100" h="254000"/>
    </dgm:sp3d>
    <dgm:txPr/>
    <dgm:style>
      <a:lnRef idx="0">
        <a:scrgbClr r="0" g="0" b="0"/>
      </a:lnRef>
      <a:fillRef idx="1">
        <a:scrgbClr r="0" g="0" b="0"/>
      </a:fillRef>
      <a:effectRef idx="1">
        <a:scrgbClr r="0" g="0" b="0"/>
      </a:effectRef>
      <a:fontRef idx="minor">
        <a:schemeClr val="lt1"/>
      </a:fontRef>
    </dgm:style>
  </dgm:styleLbl>
  <dgm:styleLbl name="asst3">
    <dgm:scene3d>
      <a:camera prst="orthographicFront">
        <a:rot lat="0" lon="0" rev="0"/>
      </a:camera>
      <a:lightRig rig="contrasting" dir="t">
        <a:rot lat="0" lon="0" rev="1200000"/>
      </a:lightRig>
    </dgm:scene3d>
    <dgm:sp3d contourW="19050" prstMaterial="metal">
      <a:bevelT w="88900" h="203200"/>
      <a:bevelB w="165100" h="254000"/>
    </dgm:sp3d>
    <dgm:txPr/>
    <dgm:style>
      <a:lnRef idx="0">
        <a:scrgbClr r="0" g="0" b="0"/>
      </a:lnRef>
      <a:fillRef idx="1">
        <a:scrgbClr r="0" g="0" b="0"/>
      </a:fillRef>
      <a:effectRef idx="1">
        <a:scrgbClr r="0" g="0" b="0"/>
      </a:effectRef>
      <a:fontRef idx="minor">
        <a:schemeClr val="lt1"/>
      </a:fontRef>
    </dgm:style>
  </dgm:styleLbl>
  <dgm:styleLbl name="asst4">
    <dgm:scene3d>
      <a:camera prst="orthographicFront"/>
      <a:lightRig rig="threePt" dir="t"/>
    </dgm:scene3d>
    <dgm:sp3d contourW="19050" prstMaterial="metal">
      <a:bevelT w="88900" h="203200"/>
      <a:bevelB w="165100" h="254000"/>
    </dgm:sp3d>
    <dgm:txPr/>
    <dgm:style>
      <a:lnRef idx="0">
        <a:scrgbClr r="0" g="0" b="0"/>
      </a:lnRef>
      <a:fillRef idx="1">
        <a:scrgbClr r="0" g="0" b="0"/>
      </a:fillRef>
      <a:effectRef idx="1">
        <a:scrgbClr r="0" g="0" b="0"/>
      </a:effectRef>
      <a:fontRef idx="minor">
        <a:schemeClr val="lt1"/>
      </a:fontRef>
    </dgm:style>
  </dgm:styleLbl>
  <dgm:styleLbl name="parChTrans2D1">
    <dgm:scene3d>
      <a:camera prst="orthographicFront">
        <a:rot lat="0" lon="0" rev="0"/>
      </a:camera>
      <a:lightRig rig="contrasting" dir="t">
        <a:rot lat="0" lon="0" rev="1200000"/>
      </a:lightRig>
    </dgm:scene3d>
    <dgm:sp3d contourW="19050" prstMaterial="metal">
      <a:bevelT w="88900" h="203200"/>
      <a:bevelB w="165100" h="254000"/>
    </dgm:sp3d>
    <dgm:txPr/>
    <dgm:style>
      <a:lnRef idx="0">
        <a:scrgbClr r="0" g="0" b="0"/>
      </a:lnRef>
      <a:fillRef idx="1">
        <a:scrgbClr r="0" g="0" b="0"/>
      </a:fillRef>
      <a:effectRef idx="0">
        <a:scrgbClr r="0" g="0" b="0"/>
      </a:effectRef>
      <a:fontRef idx="minor"/>
    </dgm:style>
  </dgm:styleLbl>
  <dgm:styleLbl name="parChTrans2D2">
    <dgm:scene3d>
      <a:camera prst="orthographicFront">
        <a:rot lat="0" lon="0" rev="0"/>
      </a:camera>
      <a:lightRig rig="contrasting" dir="t">
        <a:rot lat="0" lon="0" rev="1200000"/>
      </a:lightRig>
    </dgm:scene3d>
    <dgm:sp3d contourW="19050" prstMaterial="metal">
      <a:bevelT w="88900" h="203200"/>
      <a:bevelB w="165100" h="254000"/>
    </dgm:sp3d>
    <dgm:txPr/>
    <dgm:style>
      <a:lnRef idx="0">
        <a:scrgbClr r="0" g="0" b="0"/>
      </a:lnRef>
      <a:fillRef idx="1">
        <a:scrgbClr r="0" g="0" b="0"/>
      </a:fillRef>
      <a:effectRef idx="0">
        <a:scrgbClr r="0" g="0" b="0"/>
      </a:effectRef>
      <a:fontRef idx="minor"/>
    </dgm:style>
  </dgm:styleLbl>
  <dgm:styleLbl name="parChTrans2D3">
    <dgm:scene3d>
      <a:camera prst="orthographicFront">
        <a:rot lat="0" lon="0" rev="0"/>
      </a:camera>
      <a:lightRig rig="contrasting" dir="t">
        <a:rot lat="0" lon="0" rev="1200000"/>
      </a:lightRig>
    </dgm:scene3d>
    <dgm:sp3d contourW="19050" prstMaterial="metal">
      <a:bevelT w="88900" h="203200"/>
      <a:bevelB w="165100" h="254000"/>
    </dgm:sp3d>
    <dgm:txPr/>
    <dgm:style>
      <a:lnRef idx="0">
        <a:scrgbClr r="0" g="0" b="0"/>
      </a:lnRef>
      <a:fillRef idx="1">
        <a:scrgbClr r="0" g="0" b="0"/>
      </a:fillRef>
      <a:effectRef idx="0">
        <a:scrgbClr r="0" g="0" b="0"/>
      </a:effectRef>
      <a:fontRef idx="minor"/>
    </dgm:style>
  </dgm:styleLbl>
  <dgm:styleLbl name="parChTrans2D4">
    <dgm:scene3d>
      <a:camera prst="orthographicFront">
        <a:rot lat="0" lon="0" rev="0"/>
      </a:camera>
      <a:lightRig rig="contrasting" dir="t">
        <a:rot lat="0" lon="0" rev="1200000"/>
      </a:lightRig>
    </dgm:scene3d>
    <dgm:sp3d contourW="19050" prstMaterial="metal">
      <a:bevelT w="88900" h="203200"/>
      <a:bevelB w="165100" h="254000"/>
    </dgm:sp3d>
    <dgm:txPr/>
    <dgm:style>
      <a:lnRef idx="0">
        <a:scrgbClr r="0" g="0" b="0"/>
      </a:lnRef>
      <a:fillRef idx="1">
        <a:scrgbClr r="0" g="0" b="0"/>
      </a:fillRef>
      <a:effectRef idx="0">
        <a:scrgbClr r="0" g="0" b="0"/>
      </a:effectRef>
      <a:fontRef idx="minor"/>
    </dgm:style>
  </dgm:styleLbl>
  <dgm:styleLbl name="parChTrans1D1">
    <dgm:scene3d>
      <a:camera prst="orthographicFront">
        <a:rot lat="0" lon="0" rev="0"/>
      </a:camera>
      <a:lightRig rig="contrasting" dir="t">
        <a:rot lat="0" lon="0" rev="1200000"/>
      </a:lightRig>
    </dgm:scene3d>
    <dgm:sp3d z="-110000"/>
    <dgm:txPr/>
    <dgm:style>
      <a:lnRef idx="2">
        <a:scrgbClr r="0" g="0" b="0"/>
      </a:lnRef>
      <a:fillRef idx="0">
        <a:scrgbClr r="0" g="0" b="0"/>
      </a:fillRef>
      <a:effectRef idx="0">
        <a:scrgbClr r="0" g="0" b="0"/>
      </a:effectRef>
      <a:fontRef idx="minor"/>
    </dgm:style>
  </dgm:styleLbl>
  <dgm:styleLbl name="parChTrans1D2">
    <dgm:scene3d>
      <a:camera prst="orthographicFront">
        <a:rot lat="0" lon="0" rev="0"/>
      </a:camera>
      <a:lightRig rig="contrasting" dir="t">
        <a:rot lat="0" lon="0" rev="1200000"/>
      </a:lightRig>
    </dgm:scene3d>
    <dgm:sp3d z="-110000"/>
    <dgm:txPr/>
    <dgm:style>
      <a:lnRef idx="2">
        <a:scrgbClr r="0" g="0" b="0"/>
      </a:lnRef>
      <a:fillRef idx="0">
        <a:scrgbClr r="0" g="0" b="0"/>
      </a:fillRef>
      <a:effectRef idx="0">
        <a:scrgbClr r="0" g="0" b="0"/>
      </a:effectRef>
      <a:fontRef idx="minor"/>
    </dgm:style>
  </dgm:styleLbl>
  <dgm:styleLbl name="parChTrans1D3">
    <dgm:scene3d>
      <a:camera prst="orthographicFront">
        <a:rot lat="0" lon="0" rev="0"/>
      </a:camera>
      <a:lightRig rig="contrasting" dir="t">
        <a:rot lat="0" lon="0" rev="1200000"/>
      </a:lightRig>
    </dgm:scene3d>
    <dgm:sp3d z="-110000"/>
    <dgm:txPr/>
    <dgm:style>
      <a:lnRef idx="2">
        <a:scrgbClr r="0" g="0" b="0"/>
      </a:lnRef>
      <a:fillRef idx="0">
        <a:scrgbClr r="0" g="0" b="0"/>
      </a:fillRef>
      <a:effectRef idx="0">
        <a:scrgbClr r="0" g="0" b="0"/>
      </a:effectRef>
      <a:fontRef idx="minor"/>
    </dgm:style>
  </dgm:styleLbl>
  <dgm:styleLbl name="parChTrans1D4">
    <dgm:scene3d>
      <a:camera prst="orthographicFront">
        <a:rot lat="0" lon="0" rev="0"/>
      </a:camera>
      <a:lightRig rig="contrasting" dir="t">
        <a:rot lat="0" lon="0" rev="1200000"/>
      </a:lightRig>
    </dgm:scene3d>
    <dgm:sp3d z="-110000"/>
    <dgm:txPr/>
    <dgm:style>
      <a:lnRef idx="2">
        <a:scrgbClr r="0" g="0" b="0"/>
      </a:lnRef>
      <a:fillRef idx="0">
        <a:scrgbClr r="0" g="0" b="0"/>
      </a:fillRef>
      <a:effectRef idx="0">
        <a:scrgbClr r="0" g="0" b="0"/>
      </a:effectRef>
      <a:fontRef idx="minor"/>
    </dgm:style>
  </dgm:styleLbl>
  <dgm:styleLbl name="fgAcc1">
    <dgm:scene3d>
      <a:camera prst="orthographicFront">
        <a:rot lat="0" lon="0" rev="0"/>
      </a:camera>
      <a:lightRig rig="contrasting" dir="t">
        <a:rot lat="0" lon="0" rev="1200000"/>
      </a:lightRig>
    </dgm:scene3d>
    <dgm:sp3d z="300000" contourW="19050" prstMaterial="metal">
      <a:bevelT w="88900" h="203200"/>
      <a:bevelB w="165100" h="254000"/>
    </dgm:sp3d>
    <dgm:txPr/>
    <dgm:style>
      <a:lnRef idx="0">
        <a:scrgbClr r="0" g="0" b="0"/>
      </a:lnRef>
      <a:fillRef idx="1">
        <a:scrgbClr r="0" g="0" b="0"/>
      </a:fillRef>
      <a:effectRef idx="0">
        <a:scrgbClr r="0" g="0" b="0"/>
      </a:effectRef>
      <a:fontRef idx="minor"/>
    </dgm:style>
  </dgm:styleLbl>
  <dgm:styleLbl name="conFgAcc1">
    <dgm:scene3d>
      <a:camera prst="orthographicFront">
        <a:rot lat="0" lon="0" rev="0"/>
      </a:camera>
      <a:lightRig rig="contrasting" dir="t">
        <a:rot lat="0" lon="0" rev="1200000"/>
      </a:lightRig>
    </dgm:scene3d>
    <dgm:sp3d z="300000" contourW="19050" prstMaterial="metal">
      <a:bevelT w="88900" h="203200"/>
      <a:bevelB w="165100" h="254000"/>
    </dgm:sp3d>
    <dgm:txPr/>
    <dgm:style>
      <a:lnRef idx="0">
        <a:scrgbClr r="0" g="0" b="0"/>
      </a:lnRef>
      <a:fillRef idx="1">
        <a:scrgbClr r="0" g="0" b="0"/>
      </a:fillRef>
      <a:effectRef idx="0">
        <a:scrgbClr r="0" g="0" b="0"/>
      </a:effectRef>
      <a:fontRef idx="minor"/>
    </dgm:style>
  </dgm:styleLbl>
  <dgm:styleLbl name="alignAcc1">
    <dgm:scene3d>
      <a:camera prst="orthographicFront">
        <a:rot lat="0" lon="0" rev="0"/>
      </a:camera>
      <a:lightRig rig="contrasting" dir="t">
        <a:rot lat="0" lon="0" rev="1200000"/>
      </a:lightRig>
    </dgm:scene3d>
    <dgm:sp3d contourW="19050" prstMaterial="metal">
      <a:bevelT w="88900" h="203200"/>
      <a:bevelB w="165100" h="254000"/>
    </dgm:sp3d>
    <dgm:txPr/>
    <dgm:style>
      <a:lnRef idx="0">
        <a:scrgbClr r="0" g="0" b="0"/>
      </a:lnRef>
      <a:fillRef idx="1">
        <a:scrgbClr r="0" g="0" b="0"/>
      </a:fillRef>
      <a:effectRef idx="0">
        <a:scrgbClr r="0" g="0" b="0"/>
      </a:effectRef>
      <a:fontRef idx="minor"/>
    </dgm:style>
  </dgm:styleLbl>
  <dgm:styleLbl name="trAlignAcc1">
    <dgm:scene3d>
      <a:camera prst="orthographicFront">
        <a:rot lat="0" lon="0" rev="0"/>
      </a:camera>
      <a:lightRig rig="contrasting" dir="t">
        <a:rot lat="0" lon="0" rev="1200000"/>
      </a:lightRig>
    </dgm:scene3d>
    <dgm:sp3d contourW="19050" prstMaterial="metal">
      <a:bevelT w="88900" h="203200"/>
      <a:bevelB w="165100" h="254000"/>
    </dgm:sp3d>
    <dgm:txPr/>
    <dgm:style>
      <a:lnRef idx="0">
        <a:scrgbClr r="0" g="0" b="0"/>
      </a:lnRef>
      <a:fillRef idx="1">
        <a:scrgbClr r="0" g="0" b="0"/>
      </a:fillRef>
      <a:effectRef idx="1">
        <a:scrgbClr r="0" g="0" b="0"/>
      </a:effectRef>
      <a:fontRef idx="minor"/>
    </dgm:style>
  </dgm:styleLbl>
  <dgm:styleLbl name="bgAcc1">
    <dgm:scene3d>
      <a:camera prst="orthographicFront">
        <a:rot lat="0" lon="0" rev="0"/>
      </a:camera>
      <a:lightRig rig="contrasting" dir="t">
        <a:rot lat="0" lon="0" rev="1200000"/>
      </a:lightRig>
    </dgm:scene3d>
    <dgm:sp3d z="-300000" contourW="19050" prstMaterial="metal">
      <a:bevelT w="88900" h="203200"/>
      <a:bevelB w="165100" h="254000"/>
    </dgm:sp3d>
    <dgm:txPr/>
    <dgm:style>
      <a:lnRef idx="0">
        <a:scrgbClr r="0" g="0" b="0"/>
      </a:lnRef>
      <a:fillRef idx="1">
        <a:scrgbClr r="0" g="0" b="0"/>
      </a:fillRef>
      <a:effectRef idx="0">
        <a:scrgbClr r="0" g="0" b="0"/>
      </a:effectRef>
      <a:fontRef idx="minor"/>
    </dgm:style>
  </dgm:styleLbl>
  <dgm:styleLbl name="solidFgAcc1">
    <dgm:scene3d>
      <a:camera prst="orthographicFront">
        <a:rot lat="0" lon="0" rev="0"/>
      </a:camera>
      <a:lightRig rig="contrasting" dir="t">
        <a:rot lat="0" lon="0" rev="1200000"/>
      </a:lightRig>
    </dgm:scene3d>
    <dgm:sp3d z="300000" contourW="12700" prstMaterial="flat">
      <a:bevelT w="177800" h="254000"/>
      <a:bevelB w="152400"/>
    </dgm:sp3d>
    <dgm:txPr/>
    <dgm:style>
      <a:lnRef idx="0">
        <a:scrgbClr r="0" g="0" b="0"/>
      </a:lnRef>
      <a:fillRef idx="1">
        <a:scrgbClr r="0" g="0" b="0"/>
      </a:fillRef>
      <a:effectRef idx="0">
        <a:scrgbClr r="0" g="0" b="0"/>
      </a:effectRef>
      <a:fontRef idx="minor"/>
    </dgm:style>
  </dgm:styleLbl>
  <dgm:styleLbl name="solidAlignAcc1">
    <dgm:scene3d>
      <a:camera prst="orthographicFront">
        <a:rot lat="0" lon="0" rev="0"/>
      </a:camera>
      <a:lightRig rig="contrasting" dir="t">
        <a:rot lat="0" lon="0" rev="1200000"/>
      </a:lightRig>
    </dgm:scene3d>
    <dgm:sp3d contourW="19050" prstMaterial="metal">
      <a:bevelT w="88900" h="203200"/>
      <a:bevelB w="165100" h="254000"/>
    </dgm:sp3d>
    <dgm:txPr/>
    <dgm:style>
      <a:lnRef idx="0">
        <a:scrgbClr r="0" g="0" b="0"/>
      </a:lnRef>
      <a:fillRef idx="1">
        <a:scrgbClr r="0" g="0" b="0"/>
      </a:fillRef>
      <a:effectRef idx="0">
        <a:scrgbClr r="0" g="0" b="0"/>
      </a:effectRef>
      <a:fontRef idx="minor"/>
    </dgm:style>
  </dgm:styleLbl>
  <dgm:styleLbl name="solidBgAcc1">
    <dgm:scene3d>
      <a:camera prst="orthographicFront">
        <a:rot lat="0" lon="0" rev="0"/>
      </a:camera>
      <a:lightRig rig="contrasting" dir="t">
        <a:rot lat="0" lon="0" rev="1200000"/>
      </a:lightRig>
    </dgm:scene3d>
    <dgm:sp3d z="-300000" contourW="19050" prstMaterial="metal">
      <a:bevelT w="88900" h="203200"/>
      <a:bevelB w="165100" h="254000"/>
    </dgm:sp3d>
    <dgm:txPr/>
    <dgm:style>
      <a:lnRef idx="0">
        <a:scrgbClr r="0" g="0" b="0"/>
      </a:lnRef>
      <a:fillRef idx="1">
        <a:scrgbClr r="0" g="0" b="0"/>
      </a:fillRef>
      <a:effectRef idx="0">
        <a:scrgbClr r="0" g="0" b="0"/>
      </a:effectRef>
      <a:fontRef idx="minor"/>
    </dgm:style>
  </dgm:styleLbl>
  <dgm:styleLbl name="fgAccFollowNode1">
    <dgm:scene3d>
      <a:camera prst="orthographicFront">
        <a:rot lat="0" lon="0" rev="0"/>
      </a:camera>
      <a:lightRig rig="contrasting" dir="t">
        <a:rot lat="0" lon="0" rev="1200000"/>
      </a:lightRig>
    </dgm:scene3d>
    <dgm:sp3d z="300000" contourW="19050" prstMaterial="metal">
      <a:bevelT w="88900" h="203200"/>
      <a:bevelB w="165100" h="254000"/>
    </dgm:sp3d>
    <dgm:txPr/>
    <dgm:style>
      <a:lnRef idx="0">
        <a:scrgbClr r="0" g="0" b="0"/>
      </a:lnRef>
      <a:fillRef idx="1">
        <a:scrgbClr r="0" g="0" b="0"/>
      </a:fillRef>
      <a:effectRef idx="0">
        <a:scrgbClr r="0" g="0" b="0"/>
      </a:effectRef>
      <a:fontRef idx="minor"/>
    </dgm:style>
  </dgm:styleLbl>
  <dgm:styleLbl name="alignAccFollowNode1">
    <dgm:scene3d>
      <a:camera prst="orthographicFront">
        <a:rot lat="0" lon="0" rev="0"/>
      </a:camera>
      <a:lightRig rig="contrasting" dir="t">
        <a:rot lat="0" lon="0" rev="1200000"/>
      </a:lightRig>
    </dgm:scene3d>
    <dgm:sp3d contourW="19050" prstMaterial="metal">
      <a:bevelT w="88900" h="203200"/>
      <a:bevelB w="165100" h="254000"/>
    </dgm:sp3d>
    <dgm:txPr/>
    <dgm:style>
      <a:lnRef idx="0">
        <a:scrgbClr r="0" g="0" b="0"/>
      </a:lnRef>
      <a:fillRef idx="1">
        <a:scrgbClr r="0" g="0" b="0"/>
      </a:fillRef>
      <a:effectRef idx="0">
        <a:scrgbClr r="0" g="0" b="0"/>
      </a:effectRef>
      <a:fontRef idx="minor"/>
    </dgm:style>
  </dgm:styleLbl>
  <dgm:styleLbl name="bgAccFollowNode1">
    <dgm:scene3d>
      <a:camera prst="orthographicFront">
        <a:rot lat="0" lon="0" rev="0"/>
      </a:camera>
      <a:lightRig rig="contrasting" dir="t">
        <a:rot lat="0" lon="0" rev="1200000"/>
      </a:lightRig>
    </dgm:scene3d>
    <dgm:sp3d z="-300000" contourW="19050" prstMaterial="metal">
      <a:bevelT w="88900" h="203200"/>
      <a:bevelB w="165100" h="254000"/>
    </dgm:sp3d>
    <dgm:txPr/>
    <dgm:style>
      <a:lnRef idx="0">
        <a:scrgbClr r="0" g="0" b="0"/>
      </a:lnRef>
      <a:fillRef idx="1">
        <a:scrgbClr r="0" g="0" b="0"/>
      </a:fillRef>
      <a:effectRef idx="0">
        <a:scrgbClr r="0" g="0" b="0"/>
      </a:effectRef>
      <a:fontRef idx="minor"/>
    </dgm:style>
  </dgm:styleLbl>
  <dgm:styleLbl name="fgAcc0">
    <dgm:scene3d>
      <a:camera prst="orthographicFront">
        <a:rot lat="0" lon="0" rev="0"/>
      </a:camera>
      <a:lightRig rig="contrasting" dir="t">
        <a:rot lat="0" lon="0" rev="1200000"/>
      </a:lightRig>
    </dgm:scene3d>
    <dgm:sp3d z="300000" contourW="19050" prstMaterial="metal">
      <a:bevelT w="88900" h="203200"/>
      <a:bevelB w="165100" h="254000"/>
    </dgm:sp3d>
    <dgm:txPr/>
    <dgm:style>
      <a:lnRef idx="0">
        <a:scrgbClr r="0" g="0" b="0"/>
      </a:lnRef>
      <a:fillRef idx="1">
        <a:scrgbClr r="0" g="0" b="0"/>
      </a:fillRef>
      <a:effectRef idx="0">
        <a:scrgbClr r="0" g="0" b="0"/>
      </a:effectRef>
      <a:fontRef idx="minor"/>
    </dgm:style>
  </dgm:styleLbl>
  <dgm:styleLbl name="fgAcc2">
    <dgm:scene3d>
      <a:camera prst="orthographicFront">
        <a:rot lat="0" lon="0" rev="0"/>
      </a:camera>
      <a:lightRig rig="contrasting" dir="t">
        <a:rot lat="0" lon="0" rev="1200000"/>
      </a:lightRig>
    </dgm:scene3d>
    <dgm:sp3d z="300000" contourW="19050" prstMaterial="metal">
      <a:bevelT w="88900" h="203200"/>
      <a:bevelB w="165100" h="254000"/>
    </dgm:sp3d>
    <dgm:txPr/>
    <dgm:style>
      <a:lnRef idx="0">
        <a:scrgbClr r="0" g="0" b="0"/>
      </a:lnRef>
      <a:fillRef idx="1">
        <a:scrgbClr r="0" g="0" b="0"/>
      </a:fillRef>
      <a:effectRef idx="0">
        <a:scrgbClr r="0" g="0" b="0"/>
      </a:effectRef>
      <a:fontRef idx="minor"/>
    </dgm:style>
  </dgm:styleLbl>
  <dgm:styleLbl name="fgAcc3">
    <dgm:scene3d>
      <a:camera prst="orthographicFront">
        <a:rot lat="0" lon="0" rev="0"/>
      </a:camera>
      <a:lightRig rig="contrasting" dir="t">
        <a:rot lat="0" lon="0" rev="1200000"/>
      </a:lightRig>
    </dgm:scene3d>
    <dgm:sp3d z="300000" contourW="19050" prstMaterial="metal">
      <a:bevelT w="88900" h="203200"/>
      <a:bevelB w="165100" h="254000"/>
    </dgm:sp3d>
    <dgm:txPr/>
    <dgm:style>
      <a:lnRef idx="0">
        <a:scrgbClr r="0" g="0" b="0"/>
      </a:lnRef>
      <a:fillRef idx="1">
        <a:scrgbClr r="0" g="0" b="0"/>
      </a:fillRef>
      <a:effectRef idx="0">
        <a:scrgbClr r="0" g="0" b="0"/>
      </a:effectRef>
      <a:fontRef idx="minor"/>
    </dgm:style>
  </dgm:styleLbl>
  <dgm:styleLbl name="fgAcc4">
    <dgm:scene3d>
      <a:camera prst="orthographicFront">
        <a:rot lat="0" lon="0" rev="0"/>
      </a:camera>
      <a:lightRig rig="contrasting" dir="t">
        <a:rot lat="0" lon="0" rev="1200000"/>
      </a:lightRig>
    </dgm:scene3d>
    <dgm:sp3d z="300000" contourW="19050" prstMaterial="metal">
      <a:bevelT w="88900" h="203200"/>
      <a:bevelB w="165100" h="254000"/>
    </dgm:sp3d>
    <dgm:txPr/>
    <dgm:style>
      <a:lnRef idx="0">
        <a:scrgbClr r="0" g="0" b="0"/>
      </a:lnRef>
      <a:fillRef idx="1">
        <a:scrgbClr r="0" g="0" b="0"/>
      </a:fillRef>
      <a:effectRef idx="0">
        <a:scrgbClr r="0" g="0" b="0"/>
      </a:effectRef>
      <a:fontRef idx="minor"/>
    </dgm:style>
  </dgm:styleLbl>
  <dgm:styleLbl name="bgShp">
    <dgm:scene3d>
      <a:camera prst="orthographicFront">
        <a:rot lat="0" lon="0" rev="0"/>
      </a:camera>
      <a:lightRig rig="contrasting" dir="t">
        <a:rot lat="0" lon="0" rev="1200000"/>
      </a:lightRig>
    </dgm:scene3d>
    <dgm:sp3d z="-300000" prstMaterial="plastic"/>
    <dgm:txPr/>
    <dgm:style>
      <a:lnRef idx="1">
        <a:scrgbClr r="0" g="0" b="0"/>
      </a:lnRef>
      <a:fillRef idx="1">
        <a:scrgbClr r="0" g="0" b="0"/>
      </a:fillRef>
      <a:effectRef idx="0">
        <a:scrgbClr r="0" g="0" b="0"/>
      </a:effectRef>
      <a:fontRef idx="minor"/>
    </dgm:style>
  </dgm:styleLbl>
  <dgm:styleLbl name="dkBgShp">
    <dgm:scene3d>
      <a:camera prst="orthographicFront">
        <a:rot lat="0" lon="0" rev="0"/>
      </a:camera>
      <a:lightRig rig="contrasting" dir="t">
        <a:rot lat="0" lon="0" rev="1200000"/>
      </a:lightRig>
    </dgm:scene3d>
    <dgm:sp3d contourW="12700" prstMaterial="flat">
      <a:bevelT w="100800" h="154000"/>
      <a:bevelB w="152400"/>
    </dgm:sp3d>
    <dgm:txPr/>
    <dgm:style>
      <a:lnRef idx="0">
        <a:scrgbClr r="0" g="0" b="0"/>
      </a:lnRef>
      <a:fillRef idx="1">
        <a:scrgbClr r="0" g="0" b="0"/>
      </a:fillRef>
      <a:effectRef idx="0">
        <a:scrgbClr r="0" g="0" b="0"/>
      </a:effectRef>
      <a:fontRef idx="minor"/>
    </dgm:style>
  </dgm:styleLbl>
  <dgm:styleLbl name="trBgShp">
    <dgm:scene3d>
      <a:camera prst="orthographicFront">
        <a:rot lat="0" lon="0" rev="0"/>
      </a:camera>
      <a:lightRig rig="contrasting" dir="t">
        <a:rot lat="0" lon="0" rev="1200000"/>
      </a:lightRig>
    </dgm:scene3d>
    <dgm:sp3d z="-152400" prstMaterial="matte"/>
    <dgm:txPr/>
    <dgm:style>
      <a:lnRef idx="1">
        <a:scrgbClr r="0" g="0" b="0"/>
      </a:lnRef>
      <a:fillRef idx="1">
        <a:scrgbClr r="0" g="0" b="0"/>
      </a:fillRef>
      <a:effectRef idx="0">
        <a:scrgbClr r="0" g="0" b="0"/>
      </a:effectRef>
      <a:fontRef idx="minor"/>
    </dgm:style>
  </dgm:styleLbl>
  <dgm:styleLbl name="fgShp">
    <dgm:scene3d>
      <a:camera prst="orthographicFront">
        <a:rot lat="0" lon="0" rev="0"/>
      </a:camera>
      <a:lightRig rig="contrasting" dir="t">
        <a:rot lat="0" lon="0" rev="1200000"/>
      </a:lightRig>
    </dgm:scene3d>
    <dgm:sp3d z="300000" contourW="19050" prstMaterial="metal">
      <a:bevelT w="88900" h="203200"/>
      <a:bevelB w="165100" h="254000"/>
    </dgm:sp3d>
    <dgm:txPr/>
    <dgm:style>
      <a:lnRef idx="0">
        <a:scrgbClr r="0" g="0" b="0"/>
      </a:lnRef>
      <a:fillRef idx="1">
        <a:scrgbClr r="0" g="0" b="0"/>
      </a:fillRef>
      <a:effectRef idx="0">
        <a:scrgbClr r="0" g="0" b="0"/>
      </a:effectRef>
      <a:fontRef idx="minor"/>
    </dgm:style>
  </dgm:styleLbl>
  <dgm:styleLbl name="revTx">
    <dgm:scene3d>
      <a:camera prst="orthographicFront"/>
      <a:lightRig rig="threePt" dir="t"/>
    </dgm:scene3d>
    <dgm:sp3d/>
    <dgm:txPr/>
    <dgm:style>
      <a:lnRef idx="1">
        <a:scrgbClr r="0" g="0" b="0"/>
      </a:lnRef>
      <a:fillRef idx="0">
        <a:scrgbClr r="0" g="0" b="0"/>
      </a:fillRef>
      <a:effectRef idx="0">
        <a:scrgbClr r="0" g="0" b="0"/>
      </a:effectRef>
      <a:fontRef idx="minor"/>
    </dgm:style>
  </dgm:styleLbl>
</dgm:styleDef>
</file>

<file path=xl/drawings/_rels/drawing1.xml.rels><?xml version="1.0" encoding="UTF-8" standalone="yes"?>
<Relationships xmlns="http://schemas.openxmlformats.org/package/2006/relationships"><Relationship Id="rId8" Type="http://schemas.openxmlformats.org/officeDocument/2006/relationships/image" Target="../media/image5.svg"/><Relationship Id="rId3" Type="http://schemas.openxmlformats.org/officeDocument/2006/relationships/hyperlink" Target="#'pivot tables'!A1"/><Relationship Id="rId7" Type="http://schemas.openxmlformats.org/officeDocument/2006/relationships/image" Target="../media/image4.png"/><Relationship Id="rId2" Type="http://schemas.openxmlformats.org/officeDocument/2006/relationships/image" Target="../media/image1.png"/><Relationship Id="rId1" Type="http://schemas.openxmlformats.org/officeDocument/2006/relationships/customXml" Target="../ink/ink1.xml"/><Relationship Id="rId6" Type="http://schemas.openxmlformats.org/officeDocument/2006/relationships/hyperlink" Target="#Dashboard!A1"/><Relationship Id="rId11" Type="http://schemas.openxmlformats.org/officeDocument/2006/relationships/image" Target="../media/image7.svg"/><Relationship Id="rId5" Type="http://schemas.openxmlformats.org/officeDocument/2006/relationships/image" Target="../media/image3.svg"/><Relationship Id="rId10" Type="http://schemas.openxmlformats.org/officeDocument/2006/relationships/image" Target="../media/image6.png"/><Relationship Id="rId4" Type="http://schemas.openxmlformats.org/officeDocument/2006/relationships/image" Target="../media/image2.png"/><Relationship Id="rId9" Type="http://schemas.openxmlformats.org/officeDocument/2006/relationships/hyperlink" Target="#'Final Data'!A1"/></Relationships>
</file>

<file path=xl/drawings/_rels/drawing2.xml.rels><?xml version="1.0" encoding="UTF-8" standalone="yes"?>
<Relationships xmlns="http://schemas.openxmlformats.org/package/2006/relationships"><Relationship Id="rId8" Type="http://schemas.openxmlformats.org/officeDocument/2006/relationships/image" Target="../media/image5.svg"/><Relationship Id="rId3" Type="http://schemas.openxmlformats.org/officeDocument/2006/relationships/hyperlink" Target="#'pivot tables'!A1"/><Relationship Id="rId7" Type="http://schemas.openxmlformats.org/officeDocument/2006/relationships/image" Target="../media/image4.png"/><Relationship Id="rId2" Type="http://schemas.openxmlformats.org/officeDocument/2006/relationships/image" Target="../media/image20.png"/><Relationship Id="rId1" Type="http://schemas.openxmlformats.org/officeDocument/2006/relationships/customXml" Target="../ink/ink2.xml"/><Relationship Id="rId6" Type="http://schemas.openxmlformats.org/officeDocument/2006/relationships/hyperlink" Target="#Dashboard!A1"/><Relationship Id="rId11" Type="http://schemas.openxmlformats.org/officeDocument/2006/relationships/image" Target="../media/image11.svg"/><Relationship Id="rId5" Type="http://schemas.openxmlformats.org/officeDocument/2006/relationships/image" Target="../media/image9.svg"/><Relationship Id="rId10" Type="http://schemas.openxmlformats.org/officeDocument/2006/relationships/image" Target="../media/image10.png"/><Relationship Id="rId4" Type="http://schemas.openxmlformats.org/officeDocument/2006/relationships/image" Target="../media/image8.png"/><Relationship Id="rId9" Type="http://schemas.openxmlformats.org/officeDocument/2006/relationships/hyperlink" Target="#'Final Data'!A1"/></Relationships>
</file>

<file path=xl/drawings/_rels/drawing3.xml.rels><?xml version="1.0" encoding="UTF-8" standalone="yes"?>
<Relationships xmlns="http://schemas.openxmlformats.org/package/2006/relationships"><Relationship Id="rId8" Type="http://schemas.openxmlformats.org/officeDocument/2006/relationships/chart" Target="../charts/chart4.xml"/><Relationship Id="rId13" Type="http://schemas.microsoft.com/office/2007/relationships/diagramDrawing" Target="../diagrams/drawing1.xml"/><Relationship Id="rId18" Type="http://schemas.openxmlformats.org/officeDocument/2006/relationships/image" Target="../media/image14.png"/><Relationship Id="rId3" Type="http://schemas.openxmlformats.org/officeDocument/2006/relationships/image" Target="../media/image13.jpeg"/><Relationship Id="rId21" Type="http://schemas.openxmlformats.org/officeDocument/2006/relationships/image" Target="../media/image10.png"/><Relationship Id="rId7" Type="http://schemas.openxmlformats.org/officeDocument/2006/relationships/chart" Target="../charts/chart3.xml"/><Relationship Id="rId12" Type="http://schemas.openxmlformats.org/officeDocument/2006/relationships/diagramColors" Target="../diagrams/colors1.xml"/><Relationship Id="rId17" Type="http://schemas.openxmlformats.org/officeDocument/2006/relationships/hyperlink" Target="#Dashboard!A1"/><Relationship Id="rId2" Type="http://schemas.microsoft.com/office/2007/relationships/hdphoto" Target="../media/hdphoto1.wdp"/><Relationship Id="rId16" Type="http://schemas.openxmlformats.org/officeDocument/2006/relationships/image" Target="../media/image3.svg"/><Relationship Id="rId20" Type="http://schemas.openxmlformats.org/officeDocument/2006/relationships/hyperlink" Target="#'Final Data'!A1"/><Relationship Id="rId1" Type="http://schemas.openxmlformats.org/officeDocument/2006/relationships/image" Target="../media/image12.png"/><Relationship Id="rId6" Type="http://schemas.microsoft.com/office/2014/relationships/chartEx" Target="../charts/chartEx1.xml"/><Relationship Id="rId11" Type="http://schemas.openxmlformats.org/officeDocument/2006/relationships/diagramQuickStyle" Target="../diagrams/quickStyle1.xml"/><Relationship Id="rId5" Type="http://schemas.openxmlformats.org/officeDocument/2006/relationships/chart" Target="../charts/chart2.xml"/><Relationship Id="rId15" Type="http://schemas.openxmlformats.org/officeDocument/2006/relationships/image" Target="../media/image2.png"/><Relationship Id="rId10" Type="http://schemas.openxmlformats.org/officeDocument/2006/relationships/diagramLayout" Target="../diagrams/layout1.xml"/><Relationship Id="rId19" Type="http://schemas.openxmlformats.org/officeDocument/2006/relationships/image" Target="../media/image15.svg"/><Relationship Id="rId4" Type="http://schemas.openxmlformats.org/officeDocument/2006/relationships/chart" Target="../charts/chart1.xml"/><Relationship Id="rId9" Type="http://schemas.openxmlformats.org/officeDocument/2006/relationships/diagramData" Target="../diagrams/data1.xml"/><Relationship Id="rId14" Type="http://schemas.openxmlformats.org/officeDocument/2006/relationships/hyperlink" Target="#'pivot tables'!A1"/><Relationship Id="rId22" Type="http://schemas.openxmlformats.org/officeDocument/2006/relationships/image" Target="../media/image11.svg"/></Relationships>
</file>

<file path=xl/drawings/drawing1.xml><?xml version="1.0" encoding="utf-8"?>
<xdr:wsDr xmlns:xdr="http://schemas.openxmlformats.org/drawingml/2006/spreadsheetDrawing" xmlns:a="http://schemas.openxmlformats.org/drawingml/2006/main">
  <xdr:twoCellAnchor editAs="oneCell">
    <xdr:from>
      <xdr:col>14</xdr:col>
      <xdr:colOff>737930</xdr:colOff>
      <xdr:row>0</xdr:row>
      <xdr:rowOff>132840</xdr:rowOff>
    </xdr:from>
    <xdr:to>
      <xdr:col>14</xdr:col>
      <xdr:colOff>758090</xdr:colOff>
      <xdr:row>0</xdr:row>
      <xdr:rowOff>154080</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EB5D0CC3-3477-1D70-1ECA-B84A71F524DD}"/>
                </a:ext>
                <a:ext uri="{C183D7F6-B498-43B3-948B-1728B52AA6E4}">
                  <adec:decorative xmlns:adec="http://schemas.microsoft.com/office/drawing/2017/decorative" val="1"/>
                </a:ext>
              </a:extLst>
            </xdr14:cNvPr>
            <xdr14:cNvContentPartPr/>
          </xdr14:nvContentPartPr>
          <xdr14:nvPr macro=""/>
          <xdr14:xfrm>
            <a:off x="15133380" y="132840"/>
            <a:ext cx="20160" cy="21240"/>
          </xdr14:xfrm>
        </xdr:contentPart>
      </mc:Choice>
      <mc:Fallback xmlns="">
        <xdr:pic>
          <xdr:nvPicPr>
            <xdr:cNvPr id="2" name="Ink 1">
              <a:extLst>
                <a:ext uri="{FF2B5EF4-FFF2-40B4-BE49-F238E27FC236}">
                  <a16:creationId xmlns:a16="http://schemas.microsoft.com/office/drawing/2014/main" id="{EB5D0CC3-3477-1D70-1ECA-B84A71F524DD}"/>
                </a:ext>
              </a:extLst>
            </xdr:cNvPr>
            <xdr:cNvPicPr/>
          </xdr:nvPicPr>
          <xdr:blipFill>
            <a:blip xmlns:r="http://schemas.openxmlformats.org/officeDocument/2006/relationships" r:embed="rId2"/>
            <a:stretch>
              <a:fillRect/>
            </a:stretch>
          </xdr:blipFill>
          <xdr:spPr>
            <a:xfrm>
              <a:off x="15127260" y="126720"/>
              <a:ext cx="32400" cy="33480"/>
            </a:xfrm>
            <a:prstGeom prst="rect">
              <a:avLst/>
            </a:prstGeom>
          </xdr:spPr>
        </xdr:pic>
      </mc:Fallback>
    </mc:AlternateContent>
    <xdr:clientData/>
  </xdr:twoCellAnchor>
  <xdr:twoCellAnchor editAs="oneCell">
    <xdr:from>
      <xdr:col>0</xdr:col>
      <xdr:colOff>3412</xdr:colOff>
      <xdr:row>22</xdr:row>
      <xdr:rowOff>126146</xdr:rowOff>
    </xdr:from>
    <xdr:to>
      <xdr:col>0</xdr:col>
      <xdr:colOff>574912</xdr:colOff>
      <xdr:row>25</xdr:row>
      <xdr:rowOff>176472</xdr:rowOff>
    </xdr:to>
    <xdr:pic>
      <xdr:nvPicPr>
        <xdr:cNvPr id="4" name="Graphic 3" descr="Bar chart with solid fill">
          <a:hlinkClick xmlns:r="http://schemas.openxmlformats.org/officeDocument/2006/relationships" r:id="rId3" tooltip="Final Data"/>
          <a:extLst>
            <a:ext uri="{FF2B5EF4-FFF2-40B4-BE49-F238E27FC236}">
              <a16:creationId xmlns:a16="http://schemas.microsoft.com/office/drawing/2014/main" id="{E309FCEA-EC80-427C-AE1D-9F6552871C67}"/>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3412" y="4087788"/>
          <a:ext cx="571500" cy="590550"/>
        </a:xfrm>
        <a:prstGeom prst="rect">
          <a:avLst/>
        </a:prstGeom>
      </xdr:spPr>
    </xdr:pic>
    <xdr:clientData/>
  </xdr:twoCellAnchor>
  <xdr:twoCellAnchor editAs="oneCell">
    <xdr:from>
      <xdr:col>0</xdr:col>
      <xdr:colOff>12796</xdr:colOff>
      <xdr:row>28</xdr:row>
      <xdr:rowOff>51273</xdr:rowOff>
    </xdr:from>
    <xdr:to>
      <xdr:col>1</xdr:col>
      <xdr:colOff>17211</xdr:colOff>
      <xdr:row>31</xdr:row>
      <xdr:rowOff>127000</xdr:rowOff>
    </xdr:to>
    <xdr:pic>
      <xdr:nvPicPr>
        <xdr:cNvPr id="5" name="Graphic 4" descr="Presentation with pie chart with solid fill">
          <a:hlinkClick xmlns:r="http://schemas.openxmlformats.org/officeDocument/2006/relationships" r:id="rId6"/>
          <a:extLst>
            <a:ext uri="{FF2B5EF4-FFF2-40B4-BE49-F238E27FC236}">
              <a16:creationId xmlns:a16="http://schemas.microsoft.com/office/drawing/2014/main" id="{406C39AC-3199-41E7-8350-99283344DC0D}"/>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12796" y="5093363"/>
          <a:ext cx="610982" cy="615950"/>
        </a:xfrm>
        <a:prstGeom prst="rect">
          <a:avLst/>
        </a:prstGeom>
      </xdr:spPr>
    </xdr:pic>
    <xdr:clientData/>
  </xdr:twoCellAnchor>
  <xdr:twoCellAnchor editAs="oneCell">
    <xdr:from>
      <xdr:col>0</xdr:col>
      <xdr:colOff>0</xdr:colOff>
      <xdr:row>16</xdr:row>
      <xdr:rowOff>169081</xdr:rowOff>
    </xdr:from>
    <xdr:to>
      <xdr:col>1</xdr:col>
      <xdr:colOff>41133</xdr:colOff>
      <xdr:row>20</xdr:row>
      <xdr:rowOff>96482</xdr:rowOff>
    </xdr:to>
    <xdr:pic>
      <xdr:nvPicPr>
        <xdr:cNvPr id="6" name="Graphic 5" descr="Document with solid fill">
          <a:hlinkClick xmlns:r="http://schemas.openxmlformats.org/officeDocument/2006/relationships" r:id="rId9"/>
          <a:extLst>
            <a:ext uri="{FF2B5EF4-FFF2-40B4-BE49-F238E27FC236}">
              <a16:creationId xmlns:a16="http://schemas.microsoft.com/office/drawing/2014/main" id="{D5298072-4C3A-43AE-8E69-A3EAD21FDC3B}"/>
            </a:ext>
          </a:extLst>
        </xdr:cNvPr>
        <xdr:cNvPicPr>
          <a:picLocks noChangeAspect="1"/>
        </xdr:cNvPicPr>
      </xdr:nvPicPr>
      <xdr:blipFill>
        <a:blip xmlns:r="http://schemas.openxmlformats.org/officeDocument/2006/relationships" r:embed="rId10">
          <a:extLst>
            <a:ext uri="{96DAC541-7B7A-43D3-8B79-37D633B846F1}">
              <asvg:svgBlip xmlns:asvg="http://schemas.microsoft.com/office/drawing/2016/SVG/main" r:embed="rId11"/>
            </a:ext>
          </a:extLst>
        </a:blip>
        <a:stretch>
          <a:fillRect/>
        </a:stretch>
      </xdr:blipFill>
      <xdr:spPr>
        <a:xfrm>
          <a:off x="0" y="3050275"/>
          <a:ext cx="647700" cy="6477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5</xdr:col>
      <xdr:colOff>14160</xdr:colOff>
      <xdr:row>29</xdr:row>
      <xdr:rowOff>13930</xdr:rowOff>
    </xdr:from>
    <xdr:to>
      <xdr:col>5</xdr:col>
      <xdr:colOff>63480</xdr:colOff>
      <xdr:row>29</xdr:row>
      <xdr:rowOff>35170</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hidden="1">
              <a:extLst>
                <a:ext uri="{FF2B5EF4-FFF2-40B4-BE49-F238E27FC236}">
                  <a16:creationId xmlns:a16="http://schemas.microsoft.com/office/drawing/2014/main" id="{557625C1-B061-C926-1409-EFB842B33273}"/>
                </a:ext>
                <a:ext uri="{C183D7F6-B498-43B3-948B-1728B52AA6E4}">
                  <adec:decorative xmlns:adec="http://schemas.microsoft.com/office/drawing/2017/decorative" val="1"/>
                </a:ext>
              </a:extLst>
            </xdr14:cNvPr>
            <xdr14:cNvContentPartPr/>
          </xdr14:nvContentPartPr>
          <xdr14:nvPr macro=""/>
          <xdr14:xfrm>
            <a:off x="3062160" y="5354280"/>
            <a:ext cx="49320" cy="21240"/>
          </xdr14:xfrm>
        </xdr:contentPart>
      </mc:Choice>
      <mc:Fallback xmlns="">
        <xdr:pic>
          <xdr:nvPicPr>
            <xdr:cNvPr id="2" name="Ink 1" hidden="1">
              <a:extLst>
                <a:ext uri="{FF2B5EF4-FFF2-40B4-BE49-F238E27FC236}">
                  <a16:creationId xmlns:a16="http://schemas.microsoft.com/office/drawing/2014/main" id="{557625C1-B061-C926-1409-EFB842B33273}"/>
                </a:ext>
              </a:extLst>
            </xdr:cNvPr>
            <xdr:cNvPicPr/>
          </xdr:nvPicPr>
          <xdr:blipFill>
            <a:blip xmlns:r="http://schemas.openxmlformats.org/officeDocument/2006/relationships" r:embed="rId2"/>
            <a:stretch>
              <a:fillRect/>
            </a:stretch>
          </xdr:blipFill>
          <xdr:spPr>
            <a:xfrm>
              <a:off x="3056040" y="5348160"/>
              <a:ext cx="61560" cy="33480"/>
            </a:xfrm>
            <a:prstGeom prst="rect">
              <a:avLst/>
            </a:prstGeom>
          </xdr:spPr>
        </xdr:pic>
      </mc:Fallback>
    </mc:AlternateContent>
    <xdr:clientData/>
  </xdr:twoCellAnchor>
  <xdr:twoCellAnchor editAs="oneCell">
    <xdr:from>
      <xdr:col>0</xdr:col>
      <xdr:colOff>0</xdr:colOff>
      <xdr:row>32</xdr:row>
      <xdr:rowOff>91621</xdr:rowOff>
    </xdr:from>
    <xdr:to>
      <xdr:col>2</xdr:col>
      <xdr:colOff>501954</xdr:colOff>
      <xdr:row>44</xdr:row>
      <xdr:rowOff>136072</xdr:rowOff>
    </xdr:to>
    <xdr:pic>
      <xdr:nvPicPr>
        <xdr:cNvPr id="8" name="Graphic 7" descr="Bar chart with solid fill">
          <a:hlinkClick xmlns:r="http://schemas.openxmlformats.org/officeDocument/2006/relationships" r:id="rId3" tooltip="Final Data"/>
          <a:extLst>
            <a:ext uri="{FF2B5EF4-FFF2-40B4-BE49-F238E27FC236}">
              <a16:creationId xmlns:a16="http://schemas.microsoft.com/office/drawing/2014/main" id="{FEF60EE6-ADC3-4B28-A8FB-333B0A4CF0CF}"/>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0" y="6471859"/>
          <a:ext cx="2149930" cy="2221594"/>
        </a:xfrm>
        <a:prstGeom prst="rect">
          <a:avLst/>
        </a:prstGeom>
      </xdr:spPr>
    </xdr:pic>
    <xdr:clientData/>
  </xdr:twoCellAnchor>
  <xdr:twoCellAnchor editAs="oneCell">
    <xdr:from>
      <xdr:col>0</xdr:col>
      <xdr:colOff>0</xdr:colOff>
      <xdr:row>46</xdr:row>
      <xdr:rowOff>9979</xdr:rowOff>
    </xdr:from>
    <xdr:to>
      <xdr:col>2</xdr:col>
      <xdr:colOff>376463</xdr:colOff>
      <xdr:row>57</xdr:row>
      <xdr:rowOff>55165</xdr:rowOff>
    </xdr:to>
    <xdr:pic>
      <xdr:nvPicPr>
        <xdr:cNvPr id="9" name="Graphic 8" descr="Presentation with pie chart with solid fill">
          <a:hlinkClick xmlns:r="http://schemas.openxmlformats.org/officeDocument/2006/relationships" r:id="rId6"/>
          <a:extLst>
            <a:ext uri="{FF2B5EF4-FFF2-40B4-BE49-F238E27FC236}">
              <a16:creationId xmlns:a16="http://schemas.microsoft.com/office/drawing/2014/main" id="{D8C91234-B231-4E15-BC16-7EC19C06BF1E}"/>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0" y="8930217"/>
          <a:ext cx="2024439" cy="2040900"/>
        </a:xfrm>
        <a:prstGeom prst="rect">
          <a:avLst/>
        </a:prstGeom>
      </xdr:spPr>
    </xdr:pic>
    <xdr:clientData/>
  </xdr:twoCellAnchor>
  <xdr:twoCellAnchor editAs="oneCell">
    <xdr:from>
      <xdr:col>0</xdr:col>
      <xdr:colOff>243416</xdr:colOff>
      <xdr:row>21</xdr:row>
      <xdr:rowOff>179008</xdr:rowOff>
    </xdr:from>
    <xdr:to>
      <xdr:col>2</xdr:col>
      <xdr:colOff>544285</xdr:colOff>
      <xdr:row>32</xdr:row>
      <xdr:rowOff>132139</xdr:rowOff>
    </xdr:to>
    <xdr:pic>
      <xdr:nvPicPr>
        <xdr:cNvPr id="10" name="Graphic 9" descr="Document with solid fill">
          <a:hlinkClick xmlns:r="http://schemas.openxmlformats.org/officeDocument/2006/relationships" r:id="rId9"/>
          <a:extLst>
            <a:ext uri="{FF2B5EF4-FFF2-40B4-BE49-F238E27FC236}">
              <a16:creationId xmlns:a16="http://schemas.microsoft.com/office/drawing/2014/main" id="{29E437AA-241F-4D29-8808-018E1FB6CA4F}"/>
            </a:ext>
          </a:extLst>
        </xdr:cNvPr>
        <xdr:cNvPicPr>
          <a:picLocks noChangeAspect="1"/>
        </xdr:cNvPicPr>
      </xdr:nvPicPr>
      <xdr:blipFill>
        <a:blip xmlns:r="http://schemas.openxmlformats.org/officeDocument/2006/relationships" r:embed="rId10">
          <a:extLst>
            <a:ext uri="{96DAC541-7B7A-43D3-8B79-37D633B846F1}">
              <asvg:svgBlip xmlns:asvg="http://schemas.microsoft.com/office/drawing/2016/SVG/main" r:embed="rId11"/>
            </a:ext>
          </a:extLst>
        </a:blip>
        <a:stretch>
          <a:fillRect/>
        </a:stretch>
      </xdr:blipFill>
      <xdr:spPr>
        <a:xfrm>
          <a:off x="243416" y="4563532"/>
          <a:ext cx="1948845" cy="1948845"/>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19</xdr:col>
      <xdr:colOff>455706</xdr:colOff>
      <xdr:row>38</xdr:row>
      <xdr:rowOff>169816</xdr:rowOff>
    </xdr:to>
    <xdr:pic>
      <xdr:nvPicPr>
        <xdr:cNvPr id="13" name="Picture 12">
          <a:extLst>
            <a:ext uri="{FF2B5EF4-FFF2-40B4-BE49-F238E27FC236}">
              <a16:creationId xmlns:a16="http://schemas.microsoft.com/office/drawing/2014/main" id="{7FC8015D-2269-6C1A-C6D1-9DF55A32B5F1}"/>
            </a:ext>
            <a:ext uri="{C183D7F6-B498-43B3-948B-1728B52AA6E4}">
              <adec:decorative xmlns:adec="http://schemas.microsoft.com/office/drawing/2017/decorative" val="1"/>
            </a:ext>
          </a:extLst>
        </xdr:cNvPr>
        <xdr:cNvPicPr>
          <a:picLocks noChangeAspect="1"/>
        </xdr:cNvPicPr>
      </xdr:nvPicPr>
      <xdr:blipFill>
        <a:blip xmlns:r="http://schemas.openxmlformats.org/officeDocument/2006/relationships" r:embed="rId1">
          <a:extLst>
            <a:ext uri="{BEBA8EAE-BF5A-486C-A8C5-ECC9F3942E4B}">
              <a14:imgProps xmlns:a14="http://schemas.microsoft.com/office/drawing/2010/main">
                <a14:imgLayer r:embed="rId2">
                  <a14:imgEffect>
                    <a14:brightnessContrast bright="-40000" contrast="20000"/>
                  </a14:imgEffect>
                </a14:imgLayer>
              </a14:imgProps>
            </a:ext>
          </a:extLst>
        </a:blip>
        <a:stretch>
          <a:fillRect/>
        </a:stretch>
      </xdr:blipFill>
      <xdr:spPr>
        <a:xfrm>
          <a:off x="0" y="0"/>
          <a:ext cx="12038106" cy="7516766"/>
        </a:xfrm>
        <a:prstGeom prst="rect">
          <a:avLst/>
        </a:prstGeom>
      </xdr:spPr>
    </xdr:pic>
    <xdr:clientData/>
  </xdr:twoCellAnchor>
  <xdr:twoCellAnchor editAs="oneCell">
    <xdr:from>
      <xdr:col>39</xdr:col>
      <xdr:colOff>582655</xdr:colOff>
      <xdr:row>10</xdr:row>
      <xdr:rowOff>92848</xdr:rowOff>
    </xdr:from>
    <xdr:to>
      <xdr:col>59</xdr:col>
      <xdr:colOff>174836</xdr:colOff>
      <xdr:row>58</xdr:row>
      <xdr:rowOff>178862</xdr:rowOff>
    </xdr:to>
    <xdr:pic>
      <xdr:nvPicPr>
        <xdr:cNvPr id="27" name="Picture 26" descr="Pin op Old Paper Collection">
          <a:extLst>
            <a:ext uri="{FF2B5EF4-FFF2-40B4-BE49-F238E27FC236}">
              <a16:creationId xmlns:a16="http://schemas.microsoft.com/office/drawing/2014/main" id="{7F79BFB2-A508-ABF9-63E4-2685038D7C4C}"/>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24357055" y="2283598"/>
          <a:ext cx="11784181" cy="892521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247650</xdr:colOff>
      <xdr:row>5</xdr:row>
      <xdr:rowOff>114300</xdr:rowOff>
    </xdr:from>
    <xdr:to>
      <xdr:col>7</xdr:col>
      <xdr:colOff>158750</xdr:colOff>
      <xdr:row>8</xdr:row>
      <xdr:rowOff>177800</xdr:rowOff>
    </xdr:to>
    <mc:AlternateContent xmlns:mc="http://schemas.openxmlformats.org/markup-compatibility/2006" xmlns:a14="http://schemas.microsoft.com/office/drawing/2010/main">
      <mc:Choice Requires="a14">
        <xdr:graphicFrame macro="">
          <xdr:nvGraphicFramePr>
            <xdr:cNvPr id="57" name="Continent">
              <a:extLst>
                <a:ext uri="{FF2B5EF4-FFF2-40B4-BE49-F238E27FC236}">
                  <a16:creationId xmlns:a16="http://schemas.microsoft.com/office/drawing/2014/main" id="{A697998A-CC7C-4CDE-8FAF-2F4C934E7231}"/>
                </a:ext>
              </a:extLst>
            </xdr:cNvPr>
            <xdr:cNvGraphicFramePr/>
          </xdr:nvGraphicFramePr>
          <xdr:xfrm>
            <a:off x="0" y="0"/>
            <a:ext cx="0" cy="0"/>
          </xdr:xfrm>
          <a:graphic>
            <a:graphicData uri="http://schemas.microsoft.com/office/drawing/2010/slicer">
              <sle:slicer xmlns:sle="http://schemas.microsoft.com/office/drawing/2010/slicer" name="Continent"/>
            </a:graphicData>
          </a:graphic>
        </xdr:graphicFrame>
      </mc:Choice>
      <mc:Fallback xmlns="">
        <xdr:sp macro="" textlink="">
          <xdr:nvSpPr>
            <xdr:cNvPr id="0" name=""/>
            <xdr:cNvSpPr>
              <a:spLocks noTextEdit="1"/>
            </xdr:cNvSpPr>
          </xdr:nvSpPr>
          <xdr:spPr>
            <a:xfrm>
              <a:off x="857250" y="1035050"/>
              <a:ext cx="3568700" cy="7239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xdr:col>
      <xdr:colOff>361950</xdr:colOff>
      <xdr:row>1</xdr:row>
      <xdr:rowOff>19050</xdr:rowOff>
    </xdr:from>
    <xdr:to>
      <xdr:col>19</xdr:col>
      <xdr:colOff>31750</xdr:colOff>
      <xdr:row>4</xdr:row>
      <xdr:rowOff>165100</xdr:rowOff>
    </xdr:to>
    <xdr:sp macro="" textlink="">
      <xdr:nvSpPr>
        <xdr:cNvPr id="2" name="Rectangle 1">
          <a:extLst>
            <a:ext uri="{FF2B5EF4-FFF2-40B4-BE49-F238E27FC236}">
              <a16:creationId xmlns:a16="http://schemas.microsoft.com/office/drawing/2014/main" id="{FC3C2E7F-7291-7279-5B05-538A7C13F728}"/>
            </a:ext>
          </a:extLst>
        </xdr:cNvPr>
        <xdr:cNvSpPr/>
      </xdr:nvSpPr>
      <xdr:spPr>
        <a:xfrm>
          <a:off x="971550" y="203200"/>
          <a:ext cx="10642600" cy="698500"/>
        </a:xfrm>
        <a:noFill/>
        <a:ln w="28575">
          <a:solidFill>
            <a:schemeClr val="bg2">
              <a:lumMod val="5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p>
          <a:pPr marL="0" indent="0" algn="ctr"/>
          <a:r>
            <a:rPr lang="en-US" sz="4800">
              <a:solidFill>
                <a:schemeClr val="bg1">
                  <a:lumMod val="75000"/>
                </a:schemeClr>
              </a:solidFill>
              <a:effectLst/>
              <a:latin typeface="Bernard MT Condensed" panose="02050806060905020404" pitchFamily="18" charset="0"/>
              <a:ea typeface="+mn-ea"/>
              <a:cs typeface="+mn-cs"/>
            </a:rPr>
            <a:t>Continent Comparison Dashboard</a:t>
          </a:r>
        </a:p>
      </xdr:txBody>
    </xdr:sp>
    <xdr:clientData/>
  </xdr:twoCellAnchor>
  <xdr:twoCellAnchor>
    <xdr:from>
      <xdr:col>12</xdr:col>
      <xdr:colOff>48932</xdr:colOff>
      <xdr:row>17</xdr:row>
      <xdr:rowOff>102720</xdr:rowOff>
    </xdr:from>
    <xdr:to>
      <xdr:col>19</xdr:col>
      <xdr:colOff>377244</xdr:colOff>
      <xdr:row>30</xdr:row>
      <xdr:rowOff>19979</xdr:rowOff>
    </xdr:to>
    <xdr:graphicFrame macro="">
      <xdr:nvGraphicFramePr>
        <xdr:cNvPr id="56" name="Chart 55">
          <a:extLst>
            <a:ext uri="{FF2B5EF4-FFF2-40B4-BE49-F238E27FC236}">
              <a16:creationId xmlns:a16="http://schemas.microsoft.com/office/drawing/2014/main" id="{3234C626-D99E-4F91-B861-57D8337F9737}"/>
            </a:ext>
            <a:ext uri="{C183D7F6-B498-43B3-948B-1728B52AA6E4}">
              <adec:decorative xmlns:adec="http://schemas.microsoft.com/office/drawing/2017/decorative" val="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57523</xdr:colOff>
      <xdr:row>6</xdr:row>
      <xdr:rowOff>56402</xdr:rowOff>
    </xdr:from>
    <xdr:to>
      <xdr:col>15</xdr:col>
      <xdr:colOff>30458</xdr:colOff>
      <xdr:row>19</xdr:row>
      <xdr:rowOff>143418</xdr:rowOff>
    </xdr:to>
    <xdr:graphicFrame macro="">
      <xdr:nvGraphicFramePr>
        <xdr:cNvPr id="58" name="Chart 57">
          <a:extLst>
            <a:ext uri="{FF2B5EF4-FFF2-40B4-BE49-F238E27FC236}">
              <a16:creationId xmlns:a16="http://schemas.microsoft.com/office/drawing/2014/main" id="{F3E8F41E-657F-402F-B8BD-BFABF7E3AA30}"/>
            </a:ext>
            <a:ext uri="{C183D7F6-B498-43B3-948B-1728B52AA6E4}">
              <adec:decorative xmlns:adec="http://schemas.microsoft.com/office/drawing/2017/decorative" val="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xdr:col>
      <xdr:colOff>160989</xdr:colOff>
      <xdr:row>18</xdr:row>
      <xdr:rowOff>137832</xdr:rowOff>
    </xdr:from>
    <xdr:to>
      <xdr:col>5</xdr:col>
      <xdr:colOff>597645</xdr:colOff>
      <xdr:row>29</xdr:row>
      <xdr:rowOff>180041</xdr:rowOff>
    </xdr:to>
    <mc:AlternateContent xmlns:mc="http://schemas.openxmlformats.org/markup-compatibility/2006">
      <mc:Choice xmlns:cx1="http://schemas.microsoft.com/office/drawing/2015/9/8/chartex" Requires="cx1">
        <xdr:graphicFrame macro="">
          <xdr:nvGraphicFramePr>
            <xdr:cNvPr id="59" name="Chart 58">
              <a:extLst>
                <a:ext uri="{FF2B5EF4-FFF2-40B4-BE49-F238E27FC236}">
                  <a16:creationId xmlns:a16="http://schemas.microsoft.com/office/drawing/2014/main" id="{4815AC97-579B-4C21-B624-2E8E6B2334B1}"/>
                </a:ext>
                <a:ext uri="{C183D7F6-B498-43B3-948B-1728B52AA6E4}">
                  <adec:decorative xmlns:adec="http://schemas.microsoft.com/office/drawing/2017/decorative" val="1"/>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6"/>
            </a:graphicData>
          </a:graphic>
        </xdr:graphicFrame>
      </mc:Choice>
      <mc:Fallback>
        <xdr:sp macro="" textlink="">
          <xdr:nvSpPr>
            <xdr:cNvPr id="0" name=""/>
            <xdr:cNvSpPr>
              <a:spLocks noTextEdit="1"/>
            </xdr:cNvSpPr>
          </xdr:nvSpPr>
          <xdr:spPr>
            <a:xfrm>
              <a:off x="770589" y="3801782"/>
              <a:ext cx="2875056" cy="2067859"/>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13</xdr:col>
      <xdr:colOff>279400</xdr:colOff>
      <xdr:row>6</xdr:row>
      <xdr:rowOff>127000</xdr:rowOff>
    </xdr:from>
    <xdr:to>
      <xdr:col>21</xdr:col>
      <xdr:colOff>419099</xdr:colOff>
      <xdr:row>18</xdr:row>
      <xdr:rowOff>50800</xdr:rowOff>
    </xdr:to>
    <xdr:graphicFrame macro="">
      <xdr:nvGraphicFramePr>
        <xdr:cNvPr id="4" name="Chart 3">
          <a:extLst>
            <a:ext uri="{FF2B5EF4-FFF2-40B4-BE49-F238E27FC236}">
              <a16:creationId xmlns:a16="http://schemas.microsoft.com/office/drawing/2014/main" id="{654F8B9F-BB44-48E9-B257-244FA71F3B40}"/>
            </a:ext>
            <a:ext uri="{C183D7F6-B498-43B3-948B-1728B52AA6E4}">
              <adec:decorative xmlns:adec="http://schemas.microsoft.com/office/drawing/2017/decorative" val="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5</xdr:col>
      <xdr:colOff>396326</xdr:colOff>
      <xdr:row>17</xdr:row>
      <xdr:rowOff>82476</xdr:rowOff>
    </xdr:from>
    <xdr:to>
      <xdr:col>13</xdr:col>
      <xdr:colOff>52033</xdr:colOff>
      <xdr:row>32</xdr:row>
      <xdr:rowOff>76530</xdr:rowOff>
    </xdr:to>
    <xdr:graphicFrame macro="">
      <xdr:nvGraphicFramePr>
        <xdr:cNvPr id="6" name="Chart 5">
          <a:extLst>
            <a:ext uri="{FF2B5EF4-FFF2-40B4-BE49-F238E27FC236}">
              <a16:creationId xmlns:a16="http://schemas.microsoft.com/office/drawing/2014/main" id="{434655CD-79B5-4DA7-A55A-7D522B0C889E}"/>
            </a:ext>
            <a:ext uri="{C183D7F6-B498-43B3-948B-1728B52AA6E4}">
              <adec:decorative xmlns:adec="http://schemas.microsoft.com/office/drawing/2017/decorative" val="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15</xdr:col>
      <xdr:colOff>514351</xdr:colOff>
      <xdr:row>17</xdr:row>
      <xdr:rowOff>31750</xdr:rowOff>
    </xdr:from>
    <xdr:to>
      <xdr:col>18</xdr:col>
      <xdr:colOff>533401</xdr:colOff>
      <xdr:row>19</xdr:row>
      <xdr:rowOff>171450</xdr:rowOff>
    </xdr:to>
    <xdr:sp macro="" textlink="">
      <xdr:nvSpPr>
        <xdr:cNvPr id="7" name="Rectangle: Rounded Corners 6">
          <a:extLst>
            <a:ext uri="{FF2B5EF4-FFF2-40B4-BE49-F238E27FC236}">
              <a16:creationId xmlns:a16="http://schemas.microsoft.com/office/drawing/2014/main" id="{CAD5FAC8-670F-D835-F806-6902C4CE547D}"/>
            </a:ext>
          </a:extLst>
        </xdr:cNvPr>
        <xdr:cNvSpPr/>
      </xdr:nvSpPr>
      <xdr:spPr>
        <a:xfrm>
          <a:off x="9658351" y="3511550"/>
          <a:ext cx="1847850" cy="508000"/>
        </a:xfrm>
        <a:custGeom>
          <a:avLst/>
          <a:gdLst>
            <a:gd name="connsiteX0" fmla="*/ 0 w 1847850"/>
            <a:gd name="connsiteY0" fmla="*/ 84668 h 508000"/>
            <a:gd name="connsiteX1" fmla="*/ 84668 w 1847850"/>
            <a:gd name="connsiteY1" fmla="*/ 0 h 508000"/>
            <a:gd name="connsiteX2" fmla="*/ 610602 w 1847850"/>
            <a:gd name="connsiteY2" fmla="*/ 0 h 508000"/>
            <a:gd name="connsiteX3" fmla="*/ 1136537 w 1847850"/>
            <a:gd name="connsiteY3" fmla="*/ 0 h 508000"/>
            <a:gd name="connsiteX4" fmla="*/ 1763182 w 1847850"/>
            <a:gd name="connsiteY4" fmla="*/ 0 h 508000"/>
            <a:gd name="connsiteX5" fmla="*/ 1847850 w 1847850"/>
            <a:gd name="connsiteY5" fmla="*/ 84668 h 508000"/>
            <a:gd name="connsiteX6" fmla="*/ 1847850 w 1847850"/>
            <a:gd name="connsiteY6" fmla="*/ 423332 h 508000"/>
            <a:gd name="connsiteX7" fmla="*/ 1763182 w 1847850"/>
            <a:gd name="connsiteY7" fmla="*/ 508000 h 508000"/>
            <a:gd name="connsiteX8" fmla="*/ 1186892 w 1847850"/>
            <a:gd name="connsiteY8" fmla="*/ 508000 h 508000"/>
            <a:gd name="connsiteX9" fmla="*/ 610602 w 1847850"/>
            <a:gd name="connsiteY9" fmla="*/ 508000 h 508000"/>
            <a:gd name="connsiteX10" fmla="*/ 84668 w 1847850"/>
            <a:gd name="connsiteY10" fmla="*/ 508000 h 508000"/>
            <a:gd name="connsiteX11" fmla="*/ 0 w 1847850"/>
            <a:gd name="connsiteY11" fmla="*/ 423332 h 508000"/>
            <a:gd name="connsiteX12" fmla="*/ 0 w 1847850"/>
            <a:gd name="connsiteY12" fmla="*/ 84668 h 5080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Lst>
          <a:rect l="l" t="t" r="r" b="b"/>
          <a:pathLst>
            <a:path w="1847850" h="508000" extrusionOk="0">
              <a:moveTo>
                <a:pt x="0" y="84668"/>
              </a:moveTo>
              <a:cubicBezTo>
                <a:pt x="2111" y="34021"/>
                <a:pt x="36833" y="-582"/>
                <a:pt x="84668" y="0"/>
              </a:cubicBezTo>
              <a:cubicBezTo>
                <a:pt x="302252" y="16345"/>
                <a:pt x="411524" y="-11620"/>
                <a:pt x="610602" y="0"/>
              </a:cubicBezTo>
              <a:cubicBezTo>
                <a:pt x="809680" y="11620"/>
                <a:pt x="987859" y="23854"/>
                <a:pt x="1136537" y="0"/>
              </a:cubicBezTo>
              <a:cubicBezTo>
                <a:pt x="1285215" y="-23854"/>
                <a:pt x="1482134" y="20021"/>
                <a:pt x="1763182" y="0"/>
              </a:cubicBezTo>
              <a:cubicBezTo>
                <a:pt x="1815284" y="3284"/>
                <a:pt x="1857573" y="31882"/>
                <a:pt x="1847850" y="84668"/>
              </a:cubicBezTo>
              <a:cubicBezTo>
                <a:pt x="1837825" y="192773"/>
                <a:pt x="1864295" y="343947"/>
                <a:pt x="1847850" y="423332"/>
              </a:cubicBezTo>
              <a:cubicBezTo>
                <a:pt x="1849168" y="481094"/>
                <a:pt x="1816681" y="501952"/>
                <a:pt x="1763182" y="508000"/>
              </a:cubicBezTo>
              <a:cubicBezTo>
                <a:pt x="1628671" y="494802"/>
                <a:pt x="1409810" y="509183"/>
                <a:pt x="1186892" y="508000"/>
              </a:cubicBezTo>
              <a:cubicBezTo>
                <a:pt x="963974" y="506818"/>
                <a:pt x="863836" y="510252"/>
                <a:pt x="610602" y="508000"/>
              </a:cubicBezTo>
              <a:cubicBezTo>
                <a:pt x="357368" y="505749"/>
                <a:pt x="217656" y="531349"/>
                <a:pt x="84668" y="508000"/>
              </a:cubicBezTo>
              <a:cubicBezTo>
                <a:pt x="37429" y="518610"/>
                <a:pt x="4934" y="460426"/>
                <a:pt x="0" y="423332"/>
              </a:cubicBezTo>
              <a:cubicBezTo>
                <a:pt x="-4215" y="354528"/>
                <a:pt x="-14157" y="251241"/>
                <a:pt x="0" y="84668"/>
              </a:cubicBezTo>
              <a:close/>
            </a:path>
          </a:pathLst>
        </a:custGeom>
        <a:noFill/>
        <a:ln>
          <a:solidFill>
            <a:srgbClr val="CCFFFF"/>
          </a:solidFill>
          <a:extLst>
            <a:ext uri="{C807C97D-BFC1-408E-A445-0C87EB9F89A2}">
              <ask:lineSketchStyleProps xmlns:ask="http://schemas.microsoft.com/office/drawing/2018/sketchyshapes" sd="1171456144">
                <a:prstGeom prst="roundRect">
                  <a:avLst/>
                </a:prstGeom>
                <ask:type>
                  <ask:lineSketchFreehand/>
                </ask:type>
              </ask:lineSketchStyleProps>
            </a:ext>
          </a:extLst>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US" sz="1800">
              <a:solidFill>
                <a:schemeClr val="lt1"/>
              </a:solidFill>
              <a:effectLst/>
              <a:latin typeface="Agency FB" panose="020B0503020202020204" pitchFamily="34" charset="0"/>
              <a:ea typeface="+mn-ea"/>
              <a:cs typeface="+mn-cs"/>
            </a:rPr>
            <a:t>Population By Country</a:t>
          </a:r>
        </a:p>
      </xdr:txBody>
    </xdr:sp>
    <xdr:clientData/>
  </xdr:twoCellAnchor>
  <xdr:twoCellAnchor>
    <xdr:from>
      <xdr:col>8</xdr:col>
      <xdr:colOff>25400</xdr:colOff>
      <xdr:row>18</xdr:row>
      <xdr:rowOff>38100</xdr:rowOff>
    </xdr:from>
    <xdr:to>
      <xdr:col>11</xdr:col>
      <xdr:colOff>120649</xdr:colOff>
      <xdr:row>20</xdr:row>
      <xdr:rowOff>12700</xdr:rowOff>
    </xdr:to>
    <xdr:sp macro="" textlink="">
      <xdr:nvSpPr>
        <xdr:cNvPr id="8" name="Rectangle: Rounded Corners 7">
          <a:extLst>
            <a:ext uri="{FF2B5EF4-FFF2-40B4-BE49-F238E27FC236}">
              <a16:creationId xmlns:a16="http://schemas.microsoft.com/office/drawing/2014/main" id="{A083B270-2A98-4434-B854-D289FBE6AA8B}"/>
            </a:ext>
          </a:extLst>
        </xdr:cNvPr>
        <xdr:cNvSpPr/>
      </xdr:nvSpPr>
      <xdr:spPr>
        <a:xfrm>
          <a:off x="4902200" y="3702050"/>
          <a:ext cx="1924049" cy="342900"/>
        </a:xfrm>
        <a:custGeom>
          <a:avLst/>
          <a:gdLst>
            <a:gd name="connsiteX0" fmla="*/ 0 w 1924049"/>
            <a:gd name="connsiteY0" fmla="*/ 57151 h 342900"/>
            <a:gd name="connsiteX1" fmla="*/ 57151 w 1924049"/>
            <a:gd name="connsiteY1" fmla="*/ 0 h 342900"/>
            <a:gd name="connsiteX2" fmla="*/ 660400 w 1924049"/>
            <a:gd name="connsiteY2" fmla="*/ 0 h 342900"/>
            <a:gd name="connsiteX3" fmla="*/ 1227454 w 1924049"/>
            <a:gd name="connsiteY3" fmla="*/ 0 h 342900"/>
            <a:gd name="connsiteX4" fmla="*/ 1866898 w 1924049"/>
            <a:gd name="connsiteY4" fmla="*/ 0 h 342900"/>
            <a:gd name="connsiteX5" fmla="*/ 1924049 w 1924049"/>
            <a:gd name="connsiteY5" fmla="*/ 57151 h 342900"/>
            <a:gd name="connsiteX6" fmla="*/ 1924049 w 1924049"/>
            <a:gd name="connsiteY6" fmla="*/ 285749 h 342900"/>
            <a:gd name="connsiteX7" fmla="*/ 1866898 w 1924049"/>
            <a:gd name="connsiteY7" fmla="*/ 342900 h 342900"/>
            <a:gd name="connsiteX8" fmla="*/ 1281746 w 1924049"/>
            <a:gd name="connsiteY8" fmla="*/ 342900 h 342900"/>
            <a:gd name="connsiteX9" fmla="*/ 660400 w 1924049"/>
            <a:gd name="connsiteY9" fmla="*/ 342900 h 342900"/>
            <a:gd name="connsiteX10" fmla="*/ 57151 w 1924049"/>
            <a:gd name="connsiteY10" fmla="*/ 342900 h 342900"/>
            <a:gd name="connsiteX11" fmla="*/ 0 w 1924049"/>
            <a:gd name="connsiteY11" fmla="*/ 285749 h 342900"/>
            <a:gd name="connsiteX12" fmla="*/ 0 w 1924049"/>
            <a:gd name="connsiteY12" fmla="*/ 57151 h 3429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Lst>
          <a:rect l="l" t="t" r="r" b="b"/>
          <a:pathLst>
            <a:path w="1924049" h="342900" extrusionOk="0">
              <a:moveTo>
                <a:pt x="0" y="57151"/>
              </a:moveTo>
              <a:cubicBezTo>
                <a:pt x="-1005" y="18897"/>
                <a:pt x="26478" y="390"/>
                <a:pt x="57151" y="0"/>
              </a:cubicBezTo>
              <a:cubicBezTo>
                <a:pt x="249930" y="-9430"/>
                <a:pt x="435791" y="-7101"/>
                <a:pt x="660400" y="0"/>
              </a:cubicBezTo>
              <a:cubicBezTo>
                <a:pt x="885009" y="7101"/>
                <a:pt x="953625" y="-20822"/>
                <a:pt x="1227454" y="0"/>
              </a:cubicBezTo>
              <a:cubicBezTo>
                <a:pt x="1501283" y="20822"/>
                <a:pt x="1732250" y="-6402"/>
                <a:pt x="1866898" y="0"/>
              </a:cubicBezTo>
              <a:cubicBezTo>
                <a:pt x="1896937" y="-1048"/>
                <a:pt x="1924134" y="20620"/>
                <a:pt x="1924049" y="57151"/>
              </a:cubicBezTo>
              <a:cubicBezTo>
                <a:pt x="1918142" y="146034"/>
                <a:pt x="1916399" y="183095"/>
                <a:pt x="1924049" y="285749"/>
              </a:cubicBezTo>
              <a:cubicBezTo>
                <a:pt x="1928597" y="318136"/>
                <a:pt x="1894737" y="339179"/>
                <a:pt x="1866898" y="342900"/>
              </a:cubicBezTo>
              <a:cubicBezTo>
                <a:pt x="1664665" y="328516"/>
                <a:pt x="1516341" y="347936"/>
                <a:pt x="1281746" y="342900"/>
              </a:cubicBezTo>
              <a:cubicBezTo>
                <a:pt x="1047151" y="337864"/>
                <a:pt x="911817" y="331277"/>
                <a:pt x="660400" y="342900"/>
              </a:cubicBezTo>
              <a:cubicBezTo>
                <a:pt x="408983" y="354523"/>
                <a:pt x="350023" y="345699"/>
                <a:pt x="57151" y="342900"/>
              </a:cubicBezTo>
              <a:cubicBezTo>
                <a:pt x="24162" y="345973"/>
                <a:pt x="4415" y="314429"/>
                <a:pt x="0" y="285749"/>
              </a:cubicBezTo>
              <a:cubicBezTo>
                <a:pt x="8919" y="186659"/>
                <a:pt x="8868" y="117241"/>
                <a:pt x="0" y="57151"/>
              </a:cubicBezTo>
              <a:close/>
            </a:path>
          </a:pathLst>
        </a:custGeom>
        <a:noFill/>
        <a:ln>
          <a:solidFill>
            <a:srgbClr val="CCFFFF"/>
          </a:solidFill>
          <a:extLst>
            <a:ext uri="{C807C97D-BFC1-408E-A445-0C87EB9F89A2}">
              <ask:lineSketchStyleProps xmlns:ask="http://schemas.microsoft.com/office/drawing/2018/sketchyshapes" sd="2725396575">
                <a:prstGeom prst="roundRect">
                  <a:avLst/>
                </a:prstGeom>
                <ask:type>
                  <ask:lineSketchFreehand/>
                </ask:type>
              </ask:lineSketchStyleProps>
            </a:ext>
          </a:extLst>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US" sz="1800">
              <a:solidFill>
                <a:schemeClr val="lt1"/>
              </a:solidFill>
              <a:effectLst/>
              <a:latin typeface="Agency FB" panose="020B0503020202020204" pitchFamily="34" charset="0"/>
              <a:ea typeface="+mn-ea"/>
              <a:cs typeface="+mn-cs"/>
            </a:rPr>
            <a:t>Total World Percentage</a:t>
          </a:r>
        </a:p>
      </xdr:txBody>
    </xdr:sp>
    <xdr:clientData/>
  </xdr:twoCellAnchor>
  <xdr:twoCellAnchor>
    <xdr:from>
      <xdr:col>16</xdr:col>
      <xdr:colOff>161120</xdr:colOff>
      <xdr:row>5</xdr:row>
      <xdr:rowOff>111274</xdr:rowOff>
    </xdr:from>
    <xdr:to>
      <xdr:col>18</xdr:col>
      <xdr:colOff>533400</xdr:colOff>
      <xdr:row>7</xdr:row>
      <xdr:rowOff>88900</xdr:rowOff>
    </xdr:to>
    <xdr:sp macro="" textlink="">
      <xdr:nvSpPr>
        <xdr:cNvPr id="9" name="Rectangle: Rounded Corners 8">
          <a:extLst>
            <a:ext uri="{FF2B5EF4-FFF2-40B4-BE49-F238E27FC236}">
              <a16:creationId xmlns:a16="http://schemas.microsoft.com/office/drawing/2014/main" id="{81A4398B-2849-4AA2-A034-32409BDEF266}"/>
            </a:ext>
          </a:extLst>
        </xdr:cNvPr>
        <xdr:cNvSpPr/>
      </xdr:nvSpPr>
      <xdr:spPr>
        <a:xfrm>
          <a:off x="9914720" y="1032024"/>
          <a:ext cx="1591480" cy="345926"/>
        </a:xfrm>
        <a:custGeom>
          <a:avLst/>
          <a:gdLst>
            <a:gd name="connsiteX0" fmla="*/ 0 w 1591480"/>
            <a:gd name="connsiteY0" fmla="*/ 57655 h 345926"/>
            <a:gd name="connsiteX1" fmla="*/ 57655 w 1591480"/>
            <a:gd name="connsiteY1" fmla="*/ 0 h 345926"/>
            <a:gd name="connsiteX2" fmla="*/ 505427 w 1591480"/>
            <a:gd name="connsiteY2" fmla="*/ 0 h 345926"/>
            <a:gd name="connsiteX3" fmla="*/ 1012245 w 1591480"/>
            <a:gd name="connsiteY3" fmla="*/ 0 h 345926"/>
            <a:gd name="connsiteX4" fmla="*/ 1533825 w 1591480"/>
            <a:gd name="connsiteY4" fmla="*/ 0 h 345926"/>
            <a:gd name="connsiteX5" fmla="*/ 1591480 w 1591480"/>
            <a:gd name="connsiteY5" fmla="*/ 57655 h 345926"/>
            <a:gd name="connsiteX6" fmla="*/ 1591480 w 1591480"/>
            <a:gd name="connsiteY6" fmla="*/ 288271 h 345926"/>
            <a:gd name="connsiteX7" fmla="*/ 1533825 w 1591480"/>
            <a:gd name="connsiteY7" fmla="*/ 345926 h 345926"/>
            <a:gd name="connsiteX8" fmla="*/ 1027007 w 1591480"/>
            <a:gd name="connsiteY8" fmla="*/ 345926 h 345926"/>
            <a:gd name="connsiteX9" fmla="*/ 505427 w 1591480"/>
            <a:gd name="connsiteY9" fmla="*/ 345926 h 345926"/>
            <a:gd name="connsiteX10" fmla="*/ 57655 w 1591480"/>
            <a:gd name="connsiteY10" fmla="*/ 345926 h 345926"/>
            <a:gd name="connsiteX11" fmla="*/ 0 w 1591480"/>
            <a:gd name="connsiteY11" fmla="*/ 288271 h 345926"/>
            <a:gd name="connsiteX12" fmla="*/ 0 w 1591480"/>
            <a:gd name="connsiteY12" fmla="*/ 57655 h 345926"/>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Lst>
          <a:rect l="l" t="t" r="r" b="b"/>
          <a:pathLst>
            <a:path w="1591480" h="345926" extrusionOk="0">
              <a:moveTo>
                <a:pt x="0" y="57655"/>
              </a:moveTo>
              <a:cubicBezTo>
                <a:pt x="2419" y="25296"/>
                <a:pt x="25277" y="968"/>
                <a:pt x="57655" y="0"/>
              </a:cubicBezTo>
              <a:cubicBezTo>
                <a:pt x="150150" y="12901"/>
                <a:pt x="370252" y="-11067"/>
                <a:pt x="505427" y="0"/>
              </a:cubicBezTo>
              <a:cubicBezTo>
                <a:pt x="640602" y="11067"/>
                <a:pt x="895911" y="-13765"/>
                <a:pt x="1012245" y="0"/>
              </a:cubicBezTo>
              <a:cubicBezTo>
                <a:pt x="1128579" y="13765"/>
                <a:pt x="1281557" y="-9972"/>
                <a:pt x="1533825" y="0"/>
              </a:cubicBezTo>
              <a:cubicBezTo>
                <a:pt x="1570373" y="-4958"/>
                <a:pt x="1592376" y="20078"/>
                <a:pt x="1591480" y="57655"/>
              </a:cubicBezTo>
              <a:cubicBezTo>
                <a:pt x="1600837" y="145866"/>
                <a:pt x="1602097" y="226224"/>
                <a:pt x="1591480" y="288271"/>
              </a:cubicBezTo>
              <a:cubicBezTo>
                <a:pt x="1590955" y="317728"/>
                <a:pt x="1565487" y="346647"/>
                <a:pt x="1533825" y="345926"/>
              </a:cubicBezTo>
              <a:cubicBezTo>
                <a:pt x="1297688" y="363980"/>
                <a:pt x="1270919" y="340578"/>
                <a:pt x="1027007" y="345926"/>
              </a:cubicBezTo>
              <a:cubicBezTo>
                <a:pt x="783095" y="351274"/>
                <a:pt x="644078" y="321019"/>
                <a:pt x="505427" y="345926"/>
              </a:cubicBezTo>
              <a:cubicBezTo>
                <a:pt x="366776" y="370833"/>
                <a:pt x="264983" y="335177"/>
                <a:pt x="57655" y="345926"/>
              </a:cubicBezTo>
              <a:cubicBezTo>
                <a:pt x="20682" y="347026"/>
                <a:pt x="-1103" y="317871"/>
                <a:pt x="0" y="288271"/>
              </a:cubicBezTo>
              <a:cubicBezTo>
                <a:pt x="-5095" y="208508"/>
                <a:pt x="9658" y="127993"/>
                <a:pt x="0" y="57655"/>
              </a:cubicBezTo>
              <a:close/>
            </a:path>
          </a:pathLst>
        </a:custGeom>
        <a:noFill/>
        <a:ln>
          <a:solidFill>
            <a:srgbClr val="CCFFFF"/>
          </a:solidFill>
          <a:extLst>
            <a:ext uri="{C807C97D-BFC1-408E-A445-0C87EB9F89A2}">
              <ask:lineSketchStyleProps xmlns:ask="http://schemas.microsoft.com/office/drawing/2018/sketchyshapes" sd="167354686">
                <a:prstGeom prst="roundRect">
                  <a:avLst/>
                </a:prstGeom>
                <ask:type>
                  <ask:lineSketchFreehand/>
                </ask:type>
              </ask:lineSketchStyleProps>
            </a:ext>
          </a:extLst>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800">
              <a:effectLst/>
              <a:latin typeface="Agency FB" panose="020B0503020202020204" pitchFamily="34" charset="0"/>
            </a:rPr>
            <a:t>Density (per kmÂ²)</a:t>
          </a:r>
          <a:endParaRPr lang="en-US" sz="1800">
            <a:latin typeface="Agency FB" panose="020B0503020202020204" pitchFamily="34" charset="0"/>
          </a:endParaRPr>
        </a:p>
      </xdr:txBody>
    </xdr:sp>
    <xdr:clientData/>
  </xdr:twoCellAnchor>
  <xdr:twoCellAnchor>
    <xdr:from>
      <xdr:col>1</xdr:col>
      <xdr:colOff>19050</xdr:colOff>
      <xdr:row>8</xdr:row>
      <xdr:rowOff>101600</xdr:rowOff>
    </xdr:from>
    <xdr:to>
      <xdr:col>8</xdr:col>
      <xdr:colOff>285750</xdr:colOff>
      <xdr:row>18</xdr:row>
      <xdr:rowOff>171450</xdr:rowOff>
    </xdr:to>
    <xdr:grpSp>
      <xdr:nvGrpSpPr>
        <xdr:cNvPr id="23" name="Group 22">
          <a:extLst>
            <a:ext uri="{FF2B5EF4-FFF2-40B4-BE49-F238E27FC236}">
              <a16:creationId xmlns:a16="http://schemas.microsoft.com/office/drawing/2014/main" id="{244C92CA-9F2E-D09F-4BB5-C4AA36C05993}"/>
            </a:ext>
            <a:ext uri="{C183D7F6-B498-43B3-948B-1728B52AA6E4}">
              <adec:decorative xmlns:adec="http://schemas.microsoft.com/office/drawing/2017/decorative" val="1"/>
            </a:ext>
          </a:extLst>
        </xdr:cNvPr>
        <xdr:cNvGrpSpPr/>
      </xdr:nvGrpSpPr>
      <xdr:grpSpPr>
        <a:xfrm>
          <a:off x="628650" y="1682750"/>
          <a:ext cx="4533900" cy="2152650"/>
          <a:chOff x="3968750" y="1460500"/>
          <a:chExt cx="4406900" cy="1987550"/>
        </a:xfrm>
      </xdr:grpSpPr>
      <xdr:graphicFrame macro="">
        <xdr:nvGraphicFramePr>
          <xdr:cNvPr id="11" name="Diagram 10">
            <a:extLst>
              <a:ext uri="{FF2B5EF4-FFF2-40B4-BE49-F238E27FC236}">
                <a16:creationId xmlns:a16="http://schemas.microsoft.com/office/drawing/2014/main" id="{D3EA77BF-F02B-58A7-AACA-984B58336380}"/>
              </a:ext>
            </a:extLst>
          </xdr:cNvPr>
          <xdr:cNvGraphicFramePr/>
        </xdr:nvGraphicFramePr>
        <xdr:xfrm>
          <a:off x="4035425" y="1460500"/>
          <a:ext cx="4264025" cy="1987550"/>
        </xdr:xfrm>
        <a:graphic>
          <a:graphicData uri="http://schemas.openxmlformats.org/drawingml/2006/diagram">
            <dgm:relIds xmlns:dgm="http://schemas.openxmlformats.org/drawingml/2006/diagram" xmlns:r="http://schemas.openxmlformats.org/officeDocument/2006/relationships" r:dm="rId9" r:lo="rId10" r:qs="rId11" r:cs="rId12"/>
          </a:graphicData>
        </a:graphic>
      </xdr:graphicFrame>
      <xdr:sp macro="" textlink="'pivot tables'!C16">
        <xdr:nvSpPr>
          <xdr:cNvPr id="12" name="TextBox 11">
            <a:extLst>
              <a:ext uri="{FF2B5EF4-FFF2-40B4-BE49-F238E27FC236}">
                <a16:creationId xmlns:a16="http://schemas.microsoft.com/office/drawing/2014/main" id="{6C8BAD0E-85EC-9C32-E6E0-9577EFEF1704}"/>
              </a:ext>
            </a:extLst>
          </xdr:cNvPr>
          <xdr:cNvSpPr txBox="1"/>
        </xdr:nvSpPr>
        <xdr:spPr>
          <a:xfrm>
            <a:off x="4241800" y="2514600"/>
            <a:ext cx="863600" cy="3429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F35983E3-9C53-4C9A-AD63-63F43B2D4D2F}" type="TxLink">
              <a:rPr lang="en-US" sz="1600" b="0" i="0" u="none" strike="noStrike">
                <a:solidFill>
                  <a:schemeClr val="bg1"/>
                </a:solidFill>
                <a:latin typeface="Bernard MT Condensed" panose="02050806060905020404" pitchFamily="18" charset="0"/>
                <a:ea typeface="Calibri"/>
                <a:cs typeface="Calibri"/>
              </a:rPr>
              <a:pPr/>
              <a:t>7.49B</a:t>
            </a:fld>
            <a:endParaRPr lang="en-US" sz="1600" b="0">
              <a:solidFill>
                <a:schemeClr val="bg1"/>
              </a:solidFill>
              <a:latin typeface="Bernard MT Condensed" panose="02050806060905020404" pitchFamily="18" charset="0"/>
            </a:endParaRPr>
          </a:p>
        </xdr:txBody>
      </xdr:sp>
      <xdr:sp macro="" textlink="'pivot tables'!C16">
        <xdr:nvSpPr>
          <xdr:cNvPr id="14" name="TextBox 13">
            <a:extLst>
              <a:ext uri="{FF2B5EF4-FFF2-40B4-BE49-F238E27FC236}">
                <a16:creationId xmlns:a16="http://schemas.microsoft.com/office/drawing/2014/main" id="{F025E937-A640-4D62-B5D3-7B2CEBFAC90A}"/>
              </a:ext>
            </a:extLst>
          </xdr:cNvPr>
          <xdr:cNvSpPr txBox="1"/>
        </xdr:nvSpPr>
        <xdr:spPr>
          <a:xfrm>
            <a:off x="3968750" y="2089150"/>
            <a:ext cx="1295400" cy="609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200" b="1" i="0" u="none" strike="noStrike">
                <a:solidFill>
                  <a:schemeClr val="bg1"/>
                </a:solidFill>
                <a:latin typeface="Baskerville Old Face" panose="02020602080505020303" pitchFamily="18" charset="0"/>
                <a:ea typeface="Calibri"/>
                <a:cs typeface="Calibri"/>
              </a:rPr>
              <a:t>Total </a:t>
            </a:r>
          </a:p>
          <a:p>
            <a:pPr algn="ctr"/>
            <a:r>
              <a:rPr lang="en-US" sz="1200" b="1" i="0" u="none" strike="noStrike">
                <a:solidFill>
                  <a:schemeClr val="bg1"/>
                </a:solidFill>
                <a:latin typeface="Baskerville Old Face" panose="02020602080505020303" pitchFamily="18" charset="0"/>
                <a:ea typeface="Calibri"/>
                <a:cs typeface="Calibri"/>
              </a:rPr>
              <a:t>Population</a:t>
            </a:r>
            <a:endParaRPr lang="en-US" sz="1200">
              <a:solidFill>
                <a:schemeClr val="bg1"/>
              </a:solidFill>
              <a:latin typeface="Baskerville Old Face" panose="02020602080505020303" pitchFamily="18" charset="0"/>
            </a:endParaRPr>
          </a:p>
        </xdr:txBody>
      </xdr:sp>
      <xdr:sp macro="" textlink="'pivot tables'!C16">
        <xdr:nvSpPr>
          <xdr:cNvPr id="15" name="TextBox 14">
            <a:extLst>
              <a:ext uri="{FF2B5EF4-FFF2-40B4-BE49-F238E27FC236}">
                <a16:creationId xmlns:a16="http://schemas.microsoft.com/office/drawing/2014/main" id="{CD95A828-8035-4F15-99D2-08881AD13072}"/>
              </a:ext>
            </a:extLst>
          </xdr:cNvPr>
          <xdr:cNvSpPr txBox="1"/>
        </xdr:nvSpPr>
        <xdr:spPr>
          <a:xfrm>
            <a:off x="5048250" y="2025650"/>
            <a:ext cx="1295400" cy="609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400" b="1" i="0" u="none" strike="noStrike">
                <a:solidFill>
                  <a:schemeClr val="bg1"/>
                </a:solidFill>
                <a:latin typeface="Baskerville Old Face" panose="02020602080505020303" pitchFamily="18" charset="0"/>
                <a:ea typeface="Calibri"/>
                <a:cs typeface="Calibri"/>
              </a:rPr>
              <a:t>Growth</a:t>
            </a:r>
            <a:r>
              <a:rPr lang="en-US" sz="1400" b="1" i="0" u="none" strike="noStrike" baseline="0">
                <a:solidFill>
                  <a:schemeClr val="bg1"/>
                </a:solidFill>
                <a:latin typeface="Baskerville Old Face" panose="02020602080505020303" pitchFamily="18" charset="0"/>
                <a:ea typeface="Calibri"/>
                <a:cs typeface="Calibri"/>
              </a:rPr>
              <a:t> </a:t>
            </a:r>
          </a:p>
          <a:p>
            <a:pPr algn="ctr"/>
            <a:r>
              <a:rPr lang="en-US" sz="1400" b="1" i="0" u="none" strike="noStrike" baseline="0">
                <a:solidFill>
                  <a:schemeClr val="bg1"/>
                </a:solidFill>
                <a:latin typeface="Baskerville Old Face" panose="02020602080505020303" pitchFamily="18" charset="0"/>
                <a:ea typeface="Calibri"/>
                <a:cs typeface="Calibri"/>
              </a:rPr>
              <a:t>Rate</a:t>
            </a:r>
            <a:endParaRPr lang="en-US" sz="1400">
              <a:solidFill>
                <a:schemeClr val="bg1"/>
              </a:solidFill>
              <a:latin typeface="Baskerville Old Face" panose="02020602080505020303" pitchFamily="18" charset="0"/>
            </a:endParaRPr>
          </a:p>
        </xdr:txBody>
      </xdr:sp>
      <xdr:sp macro="" textlink="'pivot tables'!M13">
        <xdr:nvSpPr>
          <xdr:cNvPr id="16" name="TextBox 15">
            <a:extLst>
              <a:ext uri="{FF2B5EF4-FFF2-40B4-BE49-F238E27FC236}">
                <a16:creationId xmlns:a16="http://schemas.microsoft.com/office/drawing/2014/main" id="{419E6459-158B-4BD2-A19A-06D784FF0141}"/>
              </a:ext>
            </a:extLst>
          </xdr:cNvPr>
          <xdr:cNvSpPr txBox="1"/>
        </xdr:nvSpPr>
        <xdr:spPr>
          <a:xfrm>
            <a:off x="5251450" y="2495550"/>
            <a:ext cx="850900" cy="3492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7DEA2DE7-C5F6-457C-BAD2-08D2C9B9EC08}" type="TxLink">
              <a:rPr lang="en-US" sz="1600" b="0" i="0" u="none" strike="noStrike">
                <a:solidFill>
                  <a:schemeClr val="bg1"/>
                </a:solidFill>
                <a:latin typeface="Bernard MT Condensed" panose="02050806060905020404" pitchFamily="18" charset="0"/>
                <a:ea typeface="Calibri"/>
                <a:cs typeface="Calibri"/>
              </a:rPr>
              <a:pPr algn="ctr"/>
              <a:t> 198.96 </a:t>
            </a:fld>
            <a:endParaRPr lang="en-US" sz="2400" b="0">
              <a:solidFill>
                <a:schemeClr val="bg1"/>
              </a:solidFill>
              <a:latin typeface="Bernard MT Condensed" panose="02050806060905020404" pitchFamily="18" charset="0"/>
            </a:endParaRPr>
          </a:p>
        </xdr:txBody>
      </xdr:sp>
      <xdr:sp macro="" textlink="'pivot tables'!C16">
        <xdr:nvSpPr>
          <xdr:cNvPr id="17" name="TextBox 16">
            <a:extLst>
              <a:ext uri="{FF2B5EF4-FFF2-40B4-BE49-F238E27FC236}">
                <a16:creationId xmlns:a16="http://schemas.microsoft.com/office/drawing/2014/main" id="{B73BBD51-E6F0-46BB-B5B9-79D0E9D35451}"/>
              </a:ext>
            </a:extLst>
          </xdr:cNvPr>
          <xdr:cNvSpPr txBox="1"/>
        </xdr:nvSpPr>
        <xdr:spPr>
          <a:xfrm>
            <a:off x="6045200" y="2070100"/>
            <a:ext cx="1295400" cy="609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000" b="1" i="0" u="none" strike="noStrike">
                <a:solidFill>
                  <a:schemeClr val="bg1"/>
                </a:solidFill>
                <a:latin typeface="Baskerville Old Face" panose="02020602080505020303" pitchFamily="18" charset="0"/>
                <a:ea typeface="Calibri"/>
                <a:cs typeface="Calibri"/>
              </a:rPr>
              <a:t>Area</a:t>
            </a:r>
            <a:endParaRPr lang="en-US" sz="2000">
              <a:solidFill>
                <a:schemeClr val="bg1"/>
              </a:solidFill>
              <a:latin typeface="Baskerville Old Face" panose="02020602080505020303" pitchFamily="18" charset="0"/>
            </a:endParaRPr>
          </a:p>
        </xdr:txBody>
      </xdr:sp>
      <xdr:sp macro="" textlink="'pivot tables'!Q12">
        <xdr:nvSpPr>
          <xdr:cNvPr id="18" name="TextBox 17">
            <a:extLst>
              <a:ext uri="{FF2B5EF4-FFF2-40B4-BE49-F238E27FC236}">
                <a16:creationId xmlns:a16="http://schemas.microsoft.com/office/drawing/2014/main" id="{45EA1FCE-FF5B-40DB-A441-53ED21190DA3}"/>
              </a:ext>
            </a:extLst>
          </xdr:cNvPr>
          <xdr:cNvSpPr txBox="1"/>
        </xdr:nvSpPr>
        <xdr:spPr>
          <a:xfrm>
            <a:off x="6318250" y="2514600"/>
            <a:ext cx="850900" cy="3492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69C6F560-105E-422E-81ED-63975E99D566}" type="TxLink">
              <a:rPr lang="en-US" sz="1400" b="1" i="0" u="none" strike="noStrike">
                <a:solidFill>
                  <a:schemeClr val="bg1"/>
                </a:solidFill>
                <a:latin typeface="Bernard MT Condensed" panose="02050806060905020404" pitchFamily="18" charset="0"/>
                <a:ea typeface="Calibri"/>
                <a:cs typeface="Calibri"/>
              </a:rPr>
              <a:pPr marL="0" indent="0"/>
              <a:t>109.71 M</a:t>
            </a:fld>
            <a:endParaRPr lang="en-US" sz="1800" b="0" i="0" u="none" strike="noStrike">
              <a:solidFill>
                <a:schemeClr val="bg1"/>
              </a:solidFill>
              <a:latin typeface="Bernard MT Condensed" panose="02050806060905020404" pitchFamily="18" charset="0"/>
              <a:ea typeface="Calibri"/>
              <a:cs typeface="Calibri"/>
            </a:endParaRPr>
          </a:p>
        </xdr:txBody>
      </xdr:sp>
      <xdr:sp macro="" textlink="'pivot tables'!C16">
        <xdr:nvSpPr>
          <xdr:cNvPr id="19" name="TextBox 18">
            <a:extLst>
              <a:ext uri="{FF2B5EF4-FFF2-40B4-BE49-F238E27FC236}">
                <a16:creationId xmlns:a16="http://schemas.microsoft.com/office/drawing/2014/main" id="{7ED143B6-EE20-431F-A272-5C65A7F8D3BE}"/>
              </a:ext>
            </a:extLst>
          </xdr:cNvPr>
          <xdr:cNvSpPr txBox="1"/>
        </xdr:nvSpPr>
        <xdr:spPr>
          <a:xfrm>
            <a:off x="7035800" y="2038350"/>
            <a:ext cx="1339850" cy="5143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400" b="1" i="0" u="none" strike="noStrike">
                <a:solidFill>
                  <a:schemeClr val="bg1"/>
                </a:solidFill>
                <a:latin typeface="Baskerville Old Face" panose="02020602080505020303" pitchFamily="18" charset="0"/>
                <a:ea typeface="Calibri"/>
                <a:cs typeface="Calibri"/>
              </a:rPr>
              <a:t>World</a:t>
            </a:r>
            <a:r>
              <a:rPr lang="en-US" sz="1400" b="1" i="0" u="none" strike="noStrike" baseline="0">
                <a:solidFill>
                  <a:schemeClr val="bg1"/>
                </a:solidFill>
                <a:latin typeface="Baskerville Old Face" panose="02020602080505020303" pitchFamily="18" charset="0"/>
                <a:ea typeface="Calibri"/>
                <a:cs typeface="Calibri"/>
              </a:rPr>
              <a:t> </a:t>
            </a:r>
          </a:p>
          <a:p>
            <a:pPr algn="ctr"/>
            <a:r>
              <a:rPr lang="en-US" sz="1400" b="1" i="0" u="none" strike="noStrike" baseline="0">
                <a:solidFill>
                  <a:schemeClr val="bg1"/>
                </a:solidFill>
                <a:latin typeface="Baskerville Old Face" panose="02020602080505020303" pitchFamily="18" charset="0"/>
                <a:ea typeface="Calibri"/>
                <a:cs typeface="Calibri"/>
              </a:rPr>
              <a:t>Coverage</a:t>
            </a:r>
            <a:endParaRPr lang="en-US" sz="1400">
              <a:solidFill>
                <a:schemeClr val="bg1"/>
              </a:solidFill>
              <a:latin typeface="Baskerville Old Face" panose="02020602080505020303" pitchFamily="18" charset="0"/>
            </a:endParaRPr>
          </a:p>
        </xdr:txBody>
      </xdr:sp>
      <xdr:sp macro="" textlink="'pivot tables'!U12">
        <xdr:nvSpPr>
          <xdr:cNvPr id="22" name="TextBox 21">
            <a:extLst>
              <a:ext uri="{FF2B5EF4-FFF2-40B4-BE49-F238E27FC236}">
                <a16:creationId xmlns:a16="http://schemas.microsoft.com/office/drawing/2014/main" id="{306F842E-C44F-49AF-9B36-445E408ECC72}"/>
              </a:ext>
            </a:extLst>
          </xdr:cNvPr>
          <xdr:cNvSpPr txBox="1"/>
        </xdr:nvSpPr>
        <xdr:spPr>
          <a:xfrm>
            <a:off x="7385050" y="2527300"/>
            <a:ext cx="850900" cy="3492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F9347380-2EB0-48A8-AD8B-A18BA093CB8B}" type="TxLink">
              <a:rPr lang="en-US" sz="1400" b="0" i="0" u="none" strike="noStrike">
                <a:solidFill>
                  <a:schemeClr val="bg1"/>
                </a:solidFill>
                <a:latin typeface="Bernard MT Condensed" panose="02050806060905020404" pitchFamily="18" charset="0"/>
                <a:ea typeface="Calibri"/>
                <a:cs typeface="Calibri"/>
              </a:rPr>
              <a:pPr marL="0" indent="0"/>
              <a:t>93.9%</a:t>
            </a:fld>
            <a:endParaRPr lang="en-US" sz="1800" b="0" i="0" u="none" strike="noStrike">
              <a:solidFill>
                <a:schemeClr val="bg1"/>
              </a:solidFill>
              <a:latin typeface="Bernard MT Condensed" panose="02050806060905020404" pitchFamily="18" charset="0"/>
              <a:ea typeface="Calibri"/>
              <a:cs typeface="Calibri"/>
            </a:endParaRPr>
          </a:p>
        </xdr:txBody>
      </xdr:sp>
    </xdr:grpSp>
    <xdr:clientData/>
  </xdr:twoCellAnchor>
  <xdr:twoCellAnchor>
    <xdr:from>
      <xdr:col>1</xdr:col>
      <xdr:colOff>82550</xdr:colOff>
      <xdr:row>0</xdr:row>
      <xdr:rowOff>101600</xdr:rowOff>
    </xdr:from>
    <xdr:to>
      <xdr:col>19</xdr:col>
      <xdr:colOff>285750</xdr:colOff>
      <xdr:row>30</xdr:row>
      <xdr:rowOff>27450</xdr:rowOff>
    </xdr:to>
    <xdr:sp macro="" textlink="">
      <xdr:nvSpPr>
        <xdr:cNvPr id="24" name="Rectangle 23">
          <a:extLst>
            <a:ext uri="{FF2B5EF4-FFF2-40B4-BE49-F238E27FC236}">
              <a16:creationId xmlns:a16="http://schemas.microsoft.com/office/drawing/2014/main" id="{2B04D47A-CFDA-9D05-F13F-95AA366F93CB}"/>
            </a:ext>
            <a:ext uri="{C183D7F6-B498-43B3-948B-1728B52AA6E4}">
              <adec:decorative xmlns:adec="http://schemas.microsoft.com/office/drawing/2017/decorative" val="1"/>
            </a:ext>
          </a:extLst>
        </xdr:cNvPr>
        <xdr:cNvSpPr/>
      </xdr:nvSpPr>
      <xdr:spPr>
        <a:xfrm>
          <a:off x="692150" y="101600"/>
          <a:ext cx="11176000" cy="5799600"/>
        </a:xfrm>
        <a:custGeom>
          <a:avLst/>
          <a:gdLst>
            <a:gd name="connsiteX0" fmla="*/ 0 w 11176000"/>
            <a:gd name="connsiteY0" fmla="*/ 0 h 5799600"/>
            <a:gd name="connsiteX1" fmla="*/ 810260 w 11176000"/>
            <a:gd name="connsiteY1" fmla="*/ 0 h 5799600"/>
            <a:gd name="connsiteX2" fmla="*/ 1173480 w 11176000"/>
            <a:gd name="connsiteY2" fmla="*/ 0 h 5799600"/>
            <a:gd name="connsiteX3" fmla="*/ 1648460 w 11176000"/>
            <a:gd name="connsiteY3" fmla="*/ 0 h 5799600"/>
            <a:gd name="connsiteX4" fmla="*/ 2458720 w 11176000"/>
            <a:gd name="connsiteY4" fmla="*/ 0 h 5799600"/>
            <a:gd name="connsiteX5" fmla="*/ 3157220 w 11176000"/>
            <a:gd name="connsiteY5" fmla="*/ 0 h 5799600"/>
            <a:gd name="connsiteX6" fmla="*/ 3743960 w 11176000"/>
            <a:gd name="connsiteY6" fmla="*/ 0 h 5799600"/>
            <a:gd name="connsiteX7" fmla="*/ 4442460 w 11176000"/>
            <a:gd name="connsiteY7" fmla="*/ 0 h 5799600"/>
            <a:gd name="connsiteX8" fmla="*/ 5364480 w 11176000"/>
            <a:gd name="connsiteY8" fmla="*/ 0 h 5799600"/>
            <a:gd name="connsiteX9" fmla="*/ 5839460 w 11176000"/>
            <a:gd name="connsiteY9" fmla="*/ 0 h 5799600"/>
            <a:gd name="connsiteX10" fmla="*/ 6202680 w 11176000"/>
            <a:gd name="connsiteY10" fmla="*/ 0 h 5799600"/>
            <a:gd name="connsiteX11" fmla="*/ 6789420 w 11176000"/>
            <a:gd name="connsiteY11" fmla="*/ 0 h 5799600"/>
            <a:gd name="connsiteX12" fmla="*/ 7487920 w 11176000"/>
            <a:gd name="connsiteY12" fmla="*/ 0 h 5799600"/>
            <a:gd name="connsiteX13" fmla="*/ 8409940 w 11176000"/>
            <a:gd name="connsiteY13" fmla="*/ 0 h 5799600"/>
            <a:gd name="connsiteX14" fmla="*/ 8884920 w 11176000"/>
            <a:gd name="connsiteY14" fmla="*/ 0 h 5799600"/>
            <a:gd name="connsiteX15" fmla="*/ 9471660 w 11176000"/>
            <a:gd name="connsiteY15" fmla="*/ 0 h 5799600"/>
            <a:gd name="connsiteX16" fmla="*/ 10170160 w 11176000"/>
            <a:gd name="connsiteY16" fmla="*/ 0 h 5799600"/>
            <a:gd name="connsiteX17" fmla="*/ 11176000 w 11176000"/>
            <a:gd name="connsiteY17" fmla="*/ 0 h 5799600"/>
            <a:gd name="connsiteX18" fmla="*/ 11176000 w 11176000"/>
            <a:gd name="connsiteY18" fmla="*/ 470412 h 5799600"/>
            <a:gd name="connsiteX19" fmla="*/ 11176000 w 11176000"/>
            <a:gd name="connsiteY19" fmla="*/ 1056816 h 5799600"/>
            <a:gd name="connsiteX20" fmla="*/ 11176000 w 11176000"/>
            <a:gd name="connsiteY20" fmla="*/ 1643220 h 5799600"/>
            <a:gd name="connsiteX21" fmla="*/ 11176000 w 11176000"/>
            <a:gd name="connsiteY21" fmla="*/ 2171628 h 5799600"/>
            <a:gd name="connsiteX22" fmla="*/ 11176000 w 11176000"/>
            <a:gd name="connsiteY22" fmla="*/ 2758032 h 5799600"/>
            <a:gd name="connsiteX23" fmla="*/ 11176000 w 11176000"/>
            <a:gd name="connsiteY23" fmla="*/ 3518424 h 5799600"/>
            <a:gd name="connsiteX24" fmla="*/ 11176000 w 11176000"/>
            <a:gd name="connsiteY24" fmla="*/ 4278816 h 5799600"/>
            <a:gd name="connsiteX25" fmla="*/ 11176000 w 11176000"/>
            <a:gd name="connsiteY25" fmla="*/ 4807224 h 5799600"/>
            <a:gd name="connsiteX26" fmla="*/ 11176000 w 11176000"/>
            <a:gd name="connsiteY26" fmla="*/ 5799600 h 5799600"/>
            <a:gd name="connsiteX27" fmla="*/ 10701020 w 11176000"/>
            <a:gd name="connsiteY27" fmla="*/ 5799600 h 5799600"/>
            <a:gd name="connsiteX28" fmla="*/ 10226040 w 11176000"/>
            <a:gd name="connsiteY28" fmla="*/ 5799600 h 5799600"/>
            <a:gd name="connsiteX29" fmla="*/ 9304020 w 11176000"/>
            <a:gd name="connsiteY29" fmla="*/ 5799600 h 5799600"/>
            <a:gd name="connsiteX30" fmla="*/ 8382000 w 11176000"/>
            <a:gd name="connsiteY30" fmla="*/ 5799600 h 5799600"/>
            <a:gd name="connsiteX31" fmla="*/ 7907020 w 11176000"/>
            <a:gd name="connsiteY31" fmla="*/ 5799600 h 5799600"/>
            <a:gd name="connsiteX32" fmla="*/ 7432040 w 11176000"/>
            <a:gd name="connsiteY32" fmla="*/ 5799600 h 5799600"/>
            <a:gd name="connsiteX33" fmla="*/ 6510020 w 11176000"/>
            <a:gd name="connsiteY33" fmla="*/ 5799600 h 5799600"/>
            <a:gd name="connsiteX34" fmla="*/ 5923280 w 11176000"/>
            <a:gd name="connsiteY34" fmla="*/ 5799600 h 5799600"/>
            <a:gd name="connsiteX35" fmla="*/ 5336540 w 11176000"/>
            <a:gd name="connsiteY35" fmla="*/ 5799600 h 5799600"/>
            <a:gd name="connsiteX36" fmla="*/ 4861560 w 11176000"/>
            <a:gd name="connsiteY36" fmla="*/ 5799600 h 5799600"/>
            <a:gd name="connsiteX37" fmla="*/ 3939540 w 11176000"/>
            <a:gd name="connsiteY37" fmla="*/ 5799600 h 5799600"/>
            <a:gd name="connsiteX38" fmla="*/ 3352800 w 11176000"/>
            <a:gd name="connsiteY38" fmla="*/ 5799600 h 5799600"/>
            <a:gd name="connsiteX39" fmla="*/ 2989580 w 11176000"/>
            <a:gd name="connsiteY39" fmla="*/ 5799600 h 5799600"/>
            <a:gd name="connsiteX40" fmla="*/ 2514600 w 11176000"/>
            <a:gd name="connsiteY40" fmla="*/ 5799600 h 5799600"/>
            <a:gd name="connsiteX41" fmla="*/ 2151380 w 11176000"/>
            <a:gd name="connsiteY41" fmla="*/ 5799600 h 5799600"/>
            <a:gd name="connsiteX42" fmla="*/ 1676400 w 11176000"/>
            <a:gd name="connsiteY42" fmla="*/ 5799600 h 5799600"/>
            <a:gd name="connsiteX43" fmla="*/ 1313180 w 11176000"/>
            <a:gd name="connsiteY43" fmla="*/ 5799600 h 5799600"/>
            <a:gd name="connsiteX44" fmla="*/ 838200 w 11176000"/>
            <a:gd name="connsiteY44" fmla="*/ 5799600 h 5799600"/>
            <a:gd name="connsiteX45" fmla="*/ 0 w 11176000"/>
            <a:gd name="connsiteY45" fmla="*/ 5799600 h 5799600"/>
            <a:gd name="connsiteX46" fmla="*/ 0 w 11176000"/>
            <a:gd name="connsiteY46" fmla="*/ 5329188 h 5799600"/>
            <a:gd name="connsiteX47" fmla="*/ 0 w 11176000"/>
            <a:gd name="connsiteY47" fmla="*/ 4800780 h 5799600"/>
            <a:gd name="connsiteX48" fmla="*/ 0 w 11176000"/>
            <a:gd name="connsiteY48" fmla="*/ 4156380 h 5799600"/>
            <a:gd name="connsiteX49" fmla="*/ 0 w 11176000"/>
            <a:gd name="connsiteY49" fmla="*/ 3685968 h 5799600"/>
            <a:gd name="connsiteX50" fmla="*/ 0 w 11176000"/>
            <a:gd name="connsiteY50" fmla="*/ 3041568 h 5799600"/>
            <a:gd name="connsiteX51" fmla="*/ 0 w 11176000"/>
            <a:gd name="connsiteY51" fmla="*/ 2397168 h 5799600"/>
            <a:gd name="connsiteX52" fmla="*/ 0 w 11176000"/>
            <a:gd name="connsiteY52" fmla="*/ 1810764 h 5799600"/>
            <a:gd name="connsiteX53" fmla="*/ 0 w 11176000"/>
            <a:gd name="connsiteY53" fmla="*/ 1166364 h 5799600"/>
            <a:gd name="connsiteX54" fmla="*/ 0 w 11176000"/>
            <a:gd name="connsiteY54" fmla="*/ 0 h 57996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Lst>
          <a:rect l="l" t="t" r="r" b="b"/>
          <a:pathLst>
            <a:path w="11176000" h="5799600" extrusionOk="0">
              <a:moveTo>
                <a:pt x="0" y="0"/>
              </a:moveTo>
              <a:cubicBezTo>
                <a:pt x="309583" y="-12272"/>
                <a:pt x="447449" y="-32786"/>
                <a:pt x="810260" y="0"/>
              </a:cubicBezTo>
              <a:cubicBezTo>
                <a:pt x="1173071" y="32786"/>
                <a:pt x="1021825" y="-2563"/>
                <a:pt x="1173480" y="0"/>
              </a:cubicBezTo>
              <a:cubicBezTo>
                <a:pt x="1325135" y="2563"/>
                <a:pt x="1524279" y="16242"/>
                <a:pt x="1648460" y="0"/>
              </a:cubicBezTo>
              <a:cubicBezTo>
                <a:pt x="1772641" y="-16242"/>
                <a:pt x="2214031" y="-5024"/>
                <a:pt x="2458720" y="0"/>
              </a:cubicBezTo>
              <a:cubicBezTo>
                <a:pt x="2703409" y="5024"/>
                <a:pt x="2918009" y="-13394"/>
                <a:pt x="3157220" y="0"/>
              </a:cubicBezTo>
              <a:cubicBezTo>
                <a:pt x="3396431" y="13394"/>
                <a:pt x="3459233" y="-28671"/>
                <a:pt x="3743960" y="0"/>
              </a:cubicBezTo>
              <a:cubicBezTo>
                <a:pt x="4028687" y="28671"/>
                <a:pt x="4145223" y="-5629"/>
                <a:pt x="4442460" y="0"/>
              </a:cubicBezTo>
              <a:cubicBezTo>
                <a:pt x="4739697" y="5629"/>
                <a:pt x="4905395" y="13061"/>
                <a:pt x="5364480" y="0"/>
              </a:cubicBezTo>
              <a:cubicBezTo>
                <a:pt x="5823565" y="-13061"/>
                <a:pt x="5700704" y="-12501"/>
                <a:pt x="5839460" y="0"/>
              </a:cubicBezTo>
              <a:cubicBezTo>
                <a:pt x="5978216" y="12501"/>
                <a:pt x="6119736" y="-10586"/>
                <a:pt x="6202680" y="0"/>
              </a:cubicBezTo>
              <a:cubicBezTo>
                <a:pt x="6285624" y="10586"/>
                <a:pt x="6527424" y="-20414"/>
                <a:pt x="6789420" y="0"/>
              </a:cubicBezTo>
              <a:cubicBezTo>
                <a:pt x="7051416" y="20414"/>
                <a:pt x="7203851" y="-29509"/>
                <a:pt x="7487920" y="0"/>
              </a:cubicBezTo>
              <a:cubicBezTo>
                <a:pt x="7771989" y="29509"/>
                <a:pt x="8009724" y="-39396"/>
                <a:pt x="8409940" y="0"/>
              </a:cubicBezTo>
              <a:cubicBezTo>
                <a:pt x="8810156" y="39396"/>
                <a:pt x="8694689" y="-18980"/>
                <a:pt x="8884920" y="0"/>
              </a:cubicBezTo>
              <a:cubicBezTo>
                <a:pt x="9075151" y="18980"/>
                <a:pt x="9347166" y="-20381"/>
                <a:pt x="9471660" y="0"/>
              </a:cubicBezTo>
              <a:cubicBezTo>
                <a:pt x="9596154" y="20381"/>
                <a:pt x="9995131" y="7142"/>
                <a:pt x="10170160" y="0"/>
              </a:cubicBezTo>
              <a:cubicBezTo>
                <a:pt x="10345189" y="-7142"/>
                <a:pt x="10944043" y="34444"/>
                <a:pt x="11176000" y="0"/>
              </a:cubicBezTo>
              <a:cubicBezTo>
                <a:pt x="11155654" y="140170"/>
                <a:pt x="11166891" y="357792"/>
                <a:pt x="11176000" y="470412"/>
              </a:cubicBezTo>
              <a:cubicBezTo>
                <a:pt x="11185109" y="583032"/>
                <a:pt x="11153634" y="844773"/>
                <a:pt x="11176000" y="1056816"/>
              </a:cubicBezTo>
              <a:cubicBezTo>
                <a:pt x="11198366" y="1268859"/>
                <a:pt x="11196292" y="1365580"/>
                <a:pt x="11176000" y="1643220"/>
              </a:cubicBezTo>
              <a:cubicBezTo>
                <a:pt x="11155708" y="1920860"/>
                <a:pt x="11189230" y="2041422"/>
                <a:pt x="11176000" y="2171628"/>
              </a:cubicBezTo>
              <a:cubicBezTo>
                <a:pt x="11162770" y="2301834"/>
                <a:pt x="11169664" y="2469764"/>
                <a:pt x="11176000" y="2758032"/>
              </a:cubicBezTo>
              <a:cubicBezTo>
                <a:pt x="11182336" y="3046300"/>
                <a:pt x="11187183" y="3180689"/>
                <a:pt x="11176000" y="3518424"/>
              </a:cubicBezTo>
              <a:cubicBezTo>
                <a:pt x="11164817" y="3856159"/>
                <a:pt x="11180078" y="3952145"/>
                <a:pt x="11176000" y="4278816"/>
              </a:cubicBezTo>
              <a:cubicBezTo>
                <a:pt x="11171922" y="4605487"/>
                <a:pt x="11196501" y="4589999"/>
                <a:pt x="11176000" y="4807224"/>
              </a:cubicBezTo>
              <a:cubicBezTo>
                <a:pt x="11155499" y="5024449"/>
                <a:pt x="11195277" y="5422076"/>
                <a:pt x="11176000" y="5799600"/>
              </a:cubicBezTo>
              <a:cubicBezTo>
                <a:pt x="10950007" y="5801846"/>
                <a:pt x="10829478" y="5811233"/>
                <a:pt x="10701020" y="5799600"/>
              </a:cubicBezTo>
              <a:cubicBezTo>
                <a:pt x="10572562" y="5787967"/>
                <a:pt x="10334407" y="5779996"/>
                <a:pt x="10226040" y="5799600"/>
              </a:cubicBezTo>
              <a:cubicBezTo>
                <a:pt x="10117673" y="5819204"/>
                <a:pt x="9502025" y="5771699"/>
                <a:pt x="9304020" y="5799600"/>
              </a:cubicBezTo>
              <a:cubicBezTo>
                <a:pt x="9106015" y="5827501"/>
                <a:pt x="8752553" y="5803652"/>
                <a:pt x="8382000" y="5799600"/>
              </a:cubicBezTo>
              <a:cubicBezTo>
                <a:pt x="8011447" y="5795548"/>
                <a:pt x="8072518" y="5812595"/>
                <a:pt x="7907020" y="5799600"/>
              </a:cubicBezTo>
              <a:cubicBezTo>
                <a:pt x="7741522" y="5786605"/>
                <a:pt x="7557196" y="5787239"/>
                <a:pt x="7432040" y="5799600"/>
              </a:cubicBezTo>
              <a:cubicBezTo>
                <a:pt x="7306884" y="5811961"/>
                <a:pt x="6829640" y="5816367"/>
                <a:pt x="6510020" y="5799600"/>
              </a:cubicBezTo>
              <a:cubicBezTo>
                <a:pt x="6190400" y="5782833"/>
                <a:pt x="6070389" y="5772079"/>
                <a:pt x="5923280" y="5799600"/>
              </a:cubicBezTo>
              <a:cubicBezTo>
                <a:pt x="5776171" y="5827121"/>
                <a:pt x="5580866" y="5801102"/>
                <a:pt x="5336540" y="5799600"/>
              </a:cubicBezTo>
              <a:cubicBezTo>
                <a:pt x="5092214" y="5798098"/>
                <a:pt x="5047400" y="5803191"/>
                <a:pt x="4861560" y="5799600"/>
              </a:cubicBezTo>
              <a:cubicBezTo>
                <a:pt x="4675720" y="5796009"/>
                <a:pt x="4226003" y="5831546"/>
                <a:pt x="3939540" y="5799600"/>
              </a:cubicBezTo>
              <a:cubicBezTo>
                <a:pt x="3653077" y="5767654"/>
                <a:pt x="3645906" y="5774898"/>
                <a:pt x="3352800" y="5799600"/>
              </a:cubicBezTo>
              <a:cubicBezTo>
                <a:pt x="3059694" y="5824302"/>
                <a:pt x="3145963" y="5781750"/>
                <a:pt x="2989580" y="5799600"/>
              </a:cubicBezTo>
              <a:cubicBezTo>
                <a:pt x="2833197" y="5817450"/>
                <a:pt x="2688227" y="5800503"/>
                <a:pt x="2514600" y="5799600"/>
              </a:cubicBezTo>
              <a:cubicBezTo>
                <a:pt x="2340973" y="5798697"/>
                <a:pt x="2264777" y="5815937"/>
                <a:pt x="2151380" y="5799600"/>
              </a:cubicBezTo>
              <a:cubicBezTo>
                <a:pt x="2037983" y="5783263"/>
                <a:pt x="1899922" y="5813079"/>
                <a:pt x="1676400" y="5799600"/>
              </a:cubicBezTo>
              <a:cubicBezTo>
                <a:pt x="1452878" y="5786121"/>
                <a:pt x="1416219" y="5785030"/>
                <a:pt x="1313180" y="5799600"/>
              </a:cubicBezTo>
              <a:cubicBezTo>
                <a:pt x="1210141" y="5814170"/>
                <a:pt x="1029132" y="5821261"/>
                <a:pt x="838200" y="5799600"/>
              </a:cubicBezTo>
              <a:cubicBezTo>
                <a:pt x="647268" y="5777939"/>
                <a:pt x="269517" y="5775831"/>
                <a:pt x="0" y="5799600"/>
              </a:cubicBezTo>
              <a:cubicBezTo>
                <a:pt x="-19050" y="5623554"/>
                <a:pt x="-11364" y="5482316"/>
                <a:pt x="0" y="5329188"/>
              </a:cubicBezTo>
              <a:cubicBezTo>
                <a:pt x="11364" y="5176060"/>
                <a:pt x="-12987" y="5023107"/>
                <a:pt x="0" y="4800780"/>
              </a:cubicBezTo>
              <a:cubicBezTo>
                <a:pt x="12987" y="4578453"/>
                <a:pt x="-21079" y="4422088"/>
                <a:pt x="0" y="4156380"/>
              </a:cubicBezTo>
              <a:cubicBezTo>
                <a:pt x="21079" y="3890672"/>
                <a:pt x="-21444" y="3911077"/>
                <a:pt x="0" y="3685968"/>
              </a:cubicBezTo>
              <a:cubicBezTo>
                <a:pt x="21444" y="3460859"/>
                <a:pt x="13115" y="3343726"/>
                <a:pt x="0" y="3041568"/>
              </a:cubicBezTo>
              <a:cubicBezTo>
                <a:pt x="-13115" y="2739410"/>
                <a:pt x="2691" y="2620517"/>
                <a:pt x="0" y="2397168"/>
              </a:cubicBezTo>
              <a:cubicBezTo>
                <a:pt x="-2691" y="2173819"/>
                <a:pt x="26529" y="2072108"/>
                <a:pt x="0" y="1810764"/>
              </a:cubicBezTo>
              <a:cubicBezTo>
                <a:pt x="-26529" y="1549420"/>
                <a:pt x="22921" y="1369333"/>
                <a:pt x="0" y="1166364"/>
              </a:cubicBezTo>
              <a:cubicBezTo>
                <a:pt x="-22921" y="963395"/>
                <a:pt x="7307" y="362085"/>
                <a:pt x="0" y="0"/>
              </a:cubicBezTo>
              <a:close/>
            </a:path>
          </a:pathLst>
        </a:custGeom>
        <a:noFill/>
        <a:ln>
          <a:solidFill>
            <a:srgbClr val="CCFFFF"/>
          </a:solidFill>
          <a:extLst>
            <a:ext uri="{C807C97D-BFC1-408E-A445-0C87EB9F89A2}">
              <ask:lineSketchStyleProps xmlns:ask="http://schemas.microsoft.com/office/drawing/2018/sketchyshapes" sd="2002789519">
                <a:prstGeom prst="rect">
                  <a:avLst/>
                </a:prstGeom>
                <ask:type>
                  <ask:lineSketchFreehand/>
                </ask:type>
              </ask:lineSketchStyleProps>
            </a:ext>
          </a:extLst>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592920</xdr:colOff>
      <xdr:row>8</xdr:row>
      <xdr:rowOff>327174</xdr:rowOff>
    </xdr:from>
    <xdr:to>
      <xdr:col>14</xdr:col>
      <xdr:colOff>501650</xdr:colOff>
      <xdr:row>10</xdr:row>
      <xdr:rowOff>63500</xdr:rowOff>
    </xdr:to>
    <xdr:sp macro="" textlink="">
      <xdr:nvSpPr>
        <xdr:cNvPr id="5" name="Rectangle: Rounded Corners 4">
          <a:extLst>
            <a:ext uri="{FF2B5EF4-FFF2-40B4-BE49-F238E27FC236}">
              <a16:creationId xmlns:a16="http://schemas.microsoft.com/office/drawing/2014/main" id="{1CE61E3D-4B2E-452B-9FF0-E1CCD6E2D678}"/>
            </a:ext>
          </a:extLst>
        </xdr:cNvPr>
        <xdr:cNvSpPr/>
      </xdr:nvSpPr>
      <xdr:spPr>
        <a:xfrm>
          <a:off x="7908120" y="1908324"/>
          <a:ext cx="1127930" cy="345926"/>
        </a:xfrm>
        <a:custGeom>
          <a:avLst/>
          <a:gdLst>
            <a:gd name="connsiteX0" fmla="*/ 0 w 1127930"/>
            <a:gd name="connsiteY0" fmla="*/ 57655 h 345926"/>
            <a:gd name="connsiteX1" fmla="*/ 57655 w 1127930"/>
            <a:gd name="connsiteY1" fmla="*/ 0 h 345926"/>
            <a:gd name="connsiteX2" fmla="*/ 533586 w 1127930"/>
            <a:gd name="connsiteY2" fmla="*/ 0 h 345926"/>
            <a:gd name="connsiteX3" fmla="*/ 1070275 w 1127930"/>
            <a:gd name="connsiteY3" fmla="*/ 0 h 345926"/>
            <a:gd name="connsiteX4" fmla="*/ 1127930 w 1127930"/>
            <a:gd name="connsiteY4" fmla="*/ 57655 h 345926"/>
            <a:gd name="connsiteX5" fmla="*/ 1127930 w 1127930"/>
            <a:gd name="connsiteY5" fmla="*/ 288271 h 345926"/>
            <a:gd name="connsiteX6" fmla="*/ 1070275 w 1127930"/>
            <a:gd name="connsiteY6" fmla="*/ 345926 h 345926"/>
            <a:gd name="connsiteX7" fmla="*/ 563965 w 1127930"/>
            <a:gd name="connsiteY7" fmla="*/ 345926 h 345926"/>
            <a:gd name="connsiteX8" fmla="*/ 57655 w 1127930"/>
            <a:gd name="connsiteY8" fmla="*/ 345926 h 345926"/>
            <a:gd name="connsiteX9" fmla="*/ 0 w 1127930"/>
            <a:gd name="connsiteY9" fmla="*/ 288271 h 345926"/>
            <a:gd name="connsiteX10" fmla="*/ 0 w 1127930"/>
            <a:gd name="connsiteY10" fmla="*/ 57655 h 345926"/>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Lst>
          <a:rect l="l" t="t" r="r" b="b"/>
          <a:pathLst>
            <a:path w="1127930" h="345926" extrusionOk="0">
              <a:moveTo>
                <a:pt x="0" y="57655"/>
              </a:moveTo>
              <a:cubicBezTo>
                <a:pt x="2419" y="25296"/>
                <a:pt x="25277" y="968"/>
                <a:pt x="57655" y="0"/>
              </a:cubicBezTo>
              <a:cubicBezTo>
                <a:pt x="169546" y="-7880"/>
                <a:pt x="353713" y="-20799"/>
                <a:pt x="533586" y="0"/>
              </a:cubicBezTo>
              <a:cubicBezTo>
                <a:pt x="713459" y="20799"/>
                <a:pt x="854887" y="-9302"/>
                <a:pt x="1070275" y="0"/>
              </a:cubicBezTo>
              <a:cubicBezTo>
                <a:pt x="1095837" y="2910"/>
                <a:pt x="1132062" y="24714"/>
                <a:pt x="1127930" y="57655"/>
              </a:cubicBezTo>
              <a:cubicBezTo>
                <a:pt x="1122908" y="144412"/>
                <a:pt x="1122038" y="217133"/>
                <a:pt x="1127930" y="288271"/>
              </a:cubicBezTo>
              <a:cubicBezTo>
                <a:pt x="1129239" y="320530"/>
                <a:pt x="1100237" y="341811"/>
                <a:pt x="1070275" y="345926"/>
              </a:cubicBezTo>
              <a:cubicBezTo>
                <a:pt x="896799" y="358119"/>
                <a:pt x="679526" y="347592"/>
                <a:pt x="563965" y="345926"/>
              </a:cubicBezTo>
              <a:cubicBezTo>
                <a:pt x="448404" y="344261"/>
                <a:pt x="209360" y="336005"/>
                <a:pt x="57655" y="345926"/>
              </a:cubicBezTo>
              <a:cubicBezTo>
                <a:pt x="20616" y="345321"/>
                <a:pt x="4580" y="316941"/>
                <a:pt x="0" y="288271"/>
              </a:cubicBezTo>
              <a:cubicBezTo>
                <a:pt x="326" y="196481"/>
                <a:pt x="-6627" y="163501"/>
                <a:pt x="0" y="57655"/>
              </a:cubicBezTo>
              <a:close/>
            </a:path>
          </a:pathLst>
        </a:custGeom>
        <a:noFill/>
        <a:ln>
          <a:solidFill>
            <a:srgbClr val="CCFFFF"/>
          </a:solidFill>
          <a:extLst>
            <a:ext uri="{C807C97D-BFC1-408E-A445-0C87EB9F89A2}">
              <ask:lineSketchStyleProps xmlns:ask="http://schemas.microsoft.com/office/drawing/2018/sketchyshapes" sd="167354686">
                <a:prstGeom prst="roundRect">
                  <a:avLst/>
                </a:prstGeom>
                <ask:type>
                  <ask:lineSketchFreehand/>
                </ask:type>
              </ask:lineSketchStyleProps>
            </a:ext>
          </a:extLst>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800">
              <a:effectLst/>
              <a:latin typeface="Agency FB" panose="020B0503020202020204" pitchFamily="34" charset="0"/>
            </a:rPr>
            <a:t>Growth Rate</a:t>
          </a:r>
          <a:endParaRPr lang="en-US" sz="1800">
            <a:latin typeface="Agency FB" panose="020B0503020202020204" pitchFamily="34" charset="0"/>
          </a:endParaRPr>
        </a:p>
      </xdr:txBody>
    </xdr:sp>
    <xdr:clientData/>
  </xdr:twoCellAnchor>
  <xdr:twoCellAnchor>
    <xdr:from>
      <xdr:col>2</xdr:col>
      <xdr:colOff>275420</xdr:colOff>
      <xdr:row>16</xdr:row>
      <xdr:rowOff>104924</xdr:rowOff>
    </xdr:from>
    <xdr:to>
      <xdr:col>4</xdr:col>
      <xdr:colOff>565150</xdr:colOff>
      <xdr:row>18</xdr:row>
      <xdr:rowOff>82550</xdr:rowOff>
    </xdr:to>
    <xdr:sp macro="" textlink="">
      <xdr:nvSpPr>
        <xdr:cNvPr id="10" name="Rectangle: Rounded Corners 9">
          <a:extLst>
            <a:ext uri="{FF2B5EF4-FFF2-40B4-BE49-F238E27FC236}">
              <a16:creationId xmlns:a16="http://schemas.microsoft.com/office/drawing/2014/main" id="{F81839FD-D3D8-4FE7-8691-A6FAD76F7928}"/>
            </a:ext>
          </a:extLst>
        </xdr:cNvPr>
        <xdr:cNvSpPr/>
      </xdr:nvSpPr>
      <xdr:spPr>
        <a:xfrm>
          <a:off x="1494620" y="3400574"/>
          <a:ext cx="1508930" cy="345926"/>
        </a:xfrm>
        <a:custGeom>
          <a:avLst/>
          <a:gdLst>
            <a:gd name="connsiteX0" fmla="*/ 0 w 1508930"/>
            <a:gd name="connsiteY0" fmla="*/ 57655 h 345926"/>
            <a:gd name="connsiteX1" fmla="*/ 57655 w 1508930"/>
            <a:gd name="connsiteY1" fmla="*/ 0 h 345926"/>
            <a:gd name="connsiteX2" fmla="*/ 712656 w 1508930"/>
            <a:gd name="connsiteY2" fmla="*/ 0 h 345926"/>
            <a:gd name="connsiteX3" fmla="*/ 1451275 w 1508930"/>
            <a:gd name="connsiteY3" fmla="*/ 0 h 345926"/>
            <a:gd name="connsiteX4" fmla="*/ 1508930 w 1508930"/>
            <a:gd name="connsiteY4" fmla="*/ 57655 h 345926"/>
            <a:gd name="connsiteX5" fmla="*/ 1508930 w 1508930"/>
            <a:gd name="connsiteY5" fmla="*/ 288271 h 345926"/>
            <a:gd name="connsiteX6" fmla="*/ 1451275 w 1508930"/>
            <a:gd name="connsiteY6" fmla="*/ 345926 h 345926"/>
            <a:gd name="connsiteX7" fmla="*/ 754465 w 1508930"/>
            <a:gd name="connsiteY7" fmla="*/ 345926 h 345926"/>
            <a:gd name="connsiteX8" fmla="*/ 57655 w 1508930"/>
            <a:gd name="connsiteY8" fmla="*/ 345926 h 345926"/>
            <a:gd name="connsiteX9" fmla="*/ 0 w 1508930"/>
            <a:gd name="connsiteY9" fmla="*/ 288271 h 345926"/>
            <a:gd name="connsiteX10" fmla="*/ 0 w 1508930"/>
            <a:gd name="connsiteY10" fmla="*/ 57655 h 345926"/>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Lst>
          <a:rect l="l" t="t" r="r" b="b"/>
          <a:pathLst>
            <a:path w="1508930" h="345926" extrusionOk="0">
              <a:moveTo>
                <a:pt x="0" y="57655"/>
              </a:moveTo>
              <a:cubicBezTo>
                <a:pt x="2419" y="25296"/>
                <a:pt x="25277" y="968"/>
                <a:pt x="57655" y="0"/>
              </a:cubicBezTo>
              <a:cubicBezTo>
                <a:pt x="275834" y="-31373"/>
                <a:pt x="483880" y="-19619"/>
                <a:pt x="712656" y="0"/>
              </a:cubicBezTo>
              <a:cubicBezTo>
                <a:pt x="941432" y="19619"/>
                <a:pt x="1139336" y="1284"/>
                <a:pt x="1451275" y="0"/>
              </a:cubicBezTo>
              <a:cubicBezTo>
                <a:pt x="1476837" y="2910"/>
                <a:pt x="1513062" y="24714"/>
                <a:pt x="1508930" y="57655"/>
              </a:cubicBezTo>
              <a:cubicBezTo>
                <a:pt x="1503908" y="144412"/>
                <a:pt x="1503038" y="217133"/>
                <a:pt x="1508930" y="288271"/>
              </a:cubicBezTo>
              <a:cubicBezTo>
                <a:pt x="1510239" y="320530"/>
                <a:pt x="1481237" y="341811"/>
                <a:pt x="1451275" y="345926"/>
              </a:cubicBezTo>
              <a:cubicBezTo>
                <a:pt x="1122273" y="320715"/>
                <a:pt x="967238" y="363918"/>
                <a:pt x="754465" y="345926"/>
              </a:cubicBezTo>
              <a:cubicBezTo>
                <a:pt x="541692" y="327935"/>
                <a:pt x="361838" y="312800"/>
                <a:pt x="57655" y="345926"/>
              </a:cubicBezTo>
              <a:cubicBezTo>
                <a:pt x="20616" y="345321"/>
                <a:pt x="4580" y="316941"/>
                <a:pt x="0" y="288271"/>
              </a:cubicBezTo>
              <a:cubicBezTo>
                <a:pt x="326" y="196481"/>
                <a:pt x="-6627" y="163501"/>
                <a:pt x="0" y="57655"/>
              </a:cubicBezTo>
              <a:close/>
            </a:path>
          </a:pathLst>
        </a:custGeom>
        <a:noFill/>
        <a:ln>
          <a:solidFill>
            <a:srgbClr val="CCFFFF"/>
          </a:solidFill>
          <a:extLst>
            <a:ext uri="{C807C97D-BFC1-408E-A445-0C87EB9F89A2}">
              <ask:lineSketchStyleProps xmlns:ask="http://schemas.microsoft.com/office/drawing/2018/sketchyshapes" sd="167354686">
                <a:prstGeom prst="roundRect">
                  <a:avLst/>
                </a:prstGeom>
                <ask:type>
                  <ask:lineSketchFreehand/>
                </ask:type>
              </ask:lineSketchStyleProps>
            </a:ext>
          </a:extLst>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800">
              <a:effectLst/>
              <a:latin typeface="Agency FB" panose="020B0503020202020204" pitchFamily="34" charset="0"/>
            </a:rPr>
            <a:t>Area Distribution</a:t>
          </a:r>
          <a:endParaRPr lang="en-US" sz="1800">
            <a:latin typeface="Agency FB" panose="020B0503020202020204" pitchFamily="34" charset="0"/>
          </a:endParaRPr>
        </a:p>
      </xdr:txBody>
    </xdr:sp>
    <xdr:clientData/>
  </xdr:twoCellAnchor>
  <xdr:twoCellAnchor editAs="oneCell">
    <xdr:from>
      <xdr:col>0</xdr:col>
      <xdr:colOff>50800</xdr:colOff>
      <xdr:row>15</xdr:row>
      <xdr:rowOff>19050</xdr:rowOff>
    </xdr:from>
    <xdr:to>
      <xdr:col>1</xdr:col>
      <xdr:colOff>12700</xdr:colOff>
      <xdr:row>18</xdr:row>
      <xdr:rowOff>57150</xdr:rowOff>
    </xdr:to>
    <xdr:pic>
      <xdr:nvPicPr>
        <xdr:cNvPr id="21" name="Graphic 20" descr="Bar chart with solid fill">
          <a:hlinkClick xmlns:r="http://schemas.openxmlformats.org/officeDocument/2006/relationships" r:id="rId14" tooltip="Final Data"/>
          <a:extLst>
            <a:ext uri="{FF2B5EF4-FFF2-40B4-BE49-F238E27FC236}">
              <a16:creationId xmlns:a16="http://schemas.microsoft.com/office/drawing/2014/main" id="{F0E4CA75-C717-92BC-4AAE-837D3099B580}"/>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50800" y="3130550"/>
          <a:ext cx="571500" cy="590550"/>
        </a:xfrm>
        <a:prstGeom prst="rect">
          <a:avLst/>
        </a:prstGeom>
      </xdr:spPr>
    </xdr:pic>
    <xdr:clientData/>
  </xdr:twoCellAnchor>
  <xdr:twoCellAnchor editAs="oneCell">
    <xdr:from>
      <xdr:col>0</xdr:col>
      <xdr:colOff>31751</xdr:colOff>
      <xdr:row>19</xdr:row>
      <xdr:rowOff>107950</xdr:rowOff>
    </xdr:from>
    <xdr:to>
      <xdr:col>1</xdr:col>
      <xdr:colOff>33133</xdr:colOff>
      <xdr:row>22</xdr:row>
      <xdr:rowOff>171450</xdr:rowOff>
    </xdr:to>
    <xdr:pic>
      <xdr:nvPicPr>
        <xdr:cNvPr id="26" name="Graphic 25" descr="Presentation with pie chart with solid fill">
          <a:hlinkClick xmlns:r="http://schemas.openxmlformats.org/officeDocument/2006/relationships" r:id="rId17"/>
          <a:extLst>
            <a:ext uri="{FF2B5EF4-FFF2-40B4-BE49-F238E27FC236}">
              <a16:creationId xmlns:a16="http://schemas.microsoft.com/office/drawing/2014/main" id="{1F3520BC-2A53-F24B-7070-7D2FC759AE26}"/>
            </a:ext>
          </a:extLst>
        </xdr:cNvPr>
        <xdr:cNvPicPr>
          <a:picLocks noChangeAspect="1"/>
        </xdr:cNvPicPr>
      </xdr:nvPicPr>
      <xdr:blipFill>
        <a:blip xmlns:r="http://schemas.openxmlformats.org/officeDocument/2006/relationships" r:embed="rId18">
          <a:extLst>
            <a:ext uri="{96DAC541-7B7A-43D3-8B79-37D633B846F1}">
              <asvg:svgBlip xmlns:asvg="http://schemas.microsoft.com/office/drawing/2016/SVG/main" r:embed="rId19"/>
            </a:ext>
          </a:extLst>
        </a:blip>
        <a:stretch>
          <a:fillRect/>
        </a:stretch>
      </xdr:blipFill>
      <xdr:spPr>
        <a:xfrm>
          <a:off x="31751" y="3956050"/>
          <a:ext cx="610982" cy="615950"/>
        </a:xfrm>
        <a:prstGeom prst="rect">
          <a:avLst/>
        </a:prstGeom>
      </xdr:spPr>
    </xdr:pic>
    <xdr:clientData/>
  </xdr:twoCellAnchor>
  <xdr:twoCellAnchor editAs="oneCell">
    <xdr:from>
      <xdr:col>0</xdr:col>
      <xdr:colOff>31750</xdr:colOff>
      <xdr:row>10</xdr:row>
      <xdr:rowOff>44450</xdr:rowOff>
    </xdr:from>
    <xdr:to>
      <xdr:col>1</xdr:col>
      <xdr:colOff>69850</xdr:colOff>
      <xdr:row>13</xdr:row>
      <xdr:rowOff>139700</xdr:rowOff>
    </xdr:to>
    <xdr:pic>
      <xdr:nvPicPr>
        <xdr:cNvPr id="30" name="Graphic 29" descr="Document with solid fill">
          <a:hlinkClick xmlns:r="http://schemas.openxmlformats.org/officeDocument/2006/relationships" r:id="rId20"/>
          <a:extLst>
            <a:ext uri="{FF2B5EF4-FFF2-40B4-BE49-F238E27FC236}">
              <a16:creationId xmlns:a16="http://schemas.microsoft.com/office/drawing/2014/main" id="{B9BDB5CD-A979-7EA3-BB17-BBCB37A4156C}"/>
            </a:ext>
          </a:extLst>
        </xdr:cNvPr>
        <xdr:cNvPicPr>
          <a:picLocks noChangeAspect="1"/>
        </xdr:cNvPicPr>
      </xdr:nvPicPr>
      <xdr:blipFill>
        <a:blip xmlns:r="http://schemas.openxmlformats.org/officeDocument/2006/relationships" r:embed="rId21">
          <a:extLst>
            <a:ext uri="{96DAC541-7B7A-43D3-8B79-37D633B846F1}">
              <asvg:svgBlip xmlns:asvg="http://schemas.microsoft.com/office/drawing/2016/SVG/main" r:embed="rId22"/>
            </a:ext>
          </a:extLst>
        </a:blip>
        <a:stretch>
          <a:fillRect/>
        </a:stretch>
      </xdr:blipFill>
      <xdr:spPr>
        <a:xfrm>
          <a:off x="31750" y="2235200"/>
          <a:ext cx="647700" cy="647700"/>
        </a:xfrm>
        <a:prstGeom prst="rect">
          <a:avLst/>
        </a:prstGeom>
      </xdr:spPr>
    </xdr:pic>
    <xdr:clientData/>
  </xdr:twoCellAnchor>
</xdr:wsDr>
</file>

<file path=xl/ink/ink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10-22T15:59:50.891"/>
    </inkml:context>
    <inkml:brush xml:id="br0">
      <inkml:brushProperty name="width" value="0.035" units="cm"/>
      <inkml:brushProperty name="height" value="0.035" units="cm"/>
    </inkml:brush>
  </inkml:definitions>
  <inkml:trace contextRef="#ctx0" brushRef="#br0">55 59 1872,'-55'-58'-88</inkml:trace>
</inkml:ink>
</file>

<file path=xl/ink/ink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10-22T16:07:20.892"/>
    </inkml:context>
    <inkml:brush xml:id="br0">
      <inkml:brushProperty name="width" value="0.035" units="cm"/>
      <inkml:brushProperty name="height" value="0.035" units="cm"/>
    </inkml:brush>
  </inkml:definitions>
  <inkml:trace contextRef="#ctx0" brushRef="#br0">136 2 14755,'-33'0'344,"5"-1"-328,5 1-72,10 1-80,1 2-56,2 1-56,3 1 72,3 1 72,1-1 32,1 1 0,1 0-200,1-1-400,0 1-1393,0 0-2048,1-1 2449</inkml:trace>
</inkml:ink>
</file>

<file path=xl/persons/person.xml><?xml version="1.0" encoding="utf-8"?>
<personList xmlns="http://schemas.microsoft.com/office/spreadsheetml/2018/threadedcomments" xmlns:x="http://schemas.openxmlformats.org/spreadsheetml/2006/main"/>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ARTH ARORA" refreshedDate="45587.901265393521" createdVersion="8" refreshedVersion="8" minRefreshableVersion="3" recordCount="234" xr:uid="{E2DE38BF-E568-4CA9-B155-038298BD0392}">
  <cacheSource type="worksheet">
    <worksheetSource name="data"/>
  </cacheSource>
  <cacheFields count="17">
    <cacheField name="Rank" numFmtId="0">
      <sharedItems containsSemiMixedTypes="0" containsString="0" containsNumber="1" containsInteger="1" minValue="1" maxValue="234"/>
    </cacheField>
    <cacheField name="CCA3" numFmtId="0">
      <sharedItems/>
    </cacheField>
    <cacheField name="Country/Territory" numFmtId="0">
      <sharedItems count="234">
        <s v="Afghanistan"/>
        <s v="Albania"/>
        <s v="Algeria"/>
        <s v="American Samoa"/>
        <s v="Andorra"/>
        <s v="Angola"/>
        <s v="Anguilla"/>
        <s v="Antigua and Barbuda"/>
        <s v="Argentina"/>
        <s v="Armenia"/>
        <s v="Aruba"/>
        <s v="Australia"/>
        <s v="Austria"/>
        <s v="Azerbaijan"/>
        <s v="Bahamas"/>
        <s v="Bahrain"/>
        <s v="Bangladesh"/>
        <s v="Barbados"/>
        <s v="Belarus"/>
        <s v="Belgium"/>
        <s v="Belize"/>
        <s v="Benin"/>
        <s v="Bermuda"/>
        <s v="Bhutan"/>
        <s v="Bolivia"/>
        <s v="Bosnia and Herzegovina"/>
        <s v="Botswana"/>
        <s v="Brazil"/>
        <s v="British Virgin Islands"/>
        <s v="Brunei"/>
        <s v="Bulgaria"/>
        <s v="Burkina Faso"/>
        <s v="Burundi"/>
        <s v="Cambodia"/>
        <s v="Cameroon"/>
        <s v="Canada"/>
        <s v="Cape Verde"/>
        <s v="Cayman Islands"/>
        <s v="Central African Republic"/>
        <s v="Chad"/>
        <s v="Chile"/>
        <s v="China"/>
        <s v="Colombia"/>
        <s v="Comoros"/>
        <s v="Cook Islands"/>
        <s v="Costa Rica"/>
        <s v="Croatia"/>
        <s v="Cuba"/>
        <s v="Curacao"/>
        <s v="Cyprus"/>
        <s v="Czech Republic"/>
        <s v="Denmark"/>
        <s v="Djibouti"/>
        <s v="Dominica"/>
        <s v="Dominican Republic"/>
        <s v="DR Congo"/>
        <s v="Ecuador"/>
        <s v="Egypt"/>
        <s v="El Salvador"/>
        <s v="Equatorial Guinea"/>
        <s v="Eritrea"/>
        <s v="Estonia"/>
        <s v="Eswatini"/>
        <s v="Ethiopia"/>
        <s v="Falkland Islands"/>
        <s v="Faroe Islands"/>
        <s v="Fiji"/>
        <s v="Finland"/>
        <s v="France"/>
        <s v="French Guiana"/>
        <s v="French Polynesia"/>
        <s v="Gabon"/>
        <s v="Gambia"/>
        <s v="Georgia"/>
        <s v="Germany"/>
        <s v="Ghana"/>
        <s v="Gibraltar"/>
        <s v="Greece"/>
        <s v="Greenland"/>
        <s v="Grenada"/>
        <s v="Guadeloupe"/>
        <s v="Guam"/>
        <s v="Guatemala"/>
        <s v="Guernsey"/>
        <s v="Guinea"/>
        <s v="Guinea-Bissau"/>
        <s v="Guyana"/>
        <s v="Haiti"/>
        <s v="Honduras"/>
        <s v="Hong Kong"/>
        <s v="Hungary"/>
        <s v="Iceland"/>
        <s v="India"/>
        <s v="Indonesia"/>
        <s v="Iran"/>
        <s v="Iraq"/>
        <s v="Ireland"/>
        <s v="Isle of Man"/>
        <s v="Israel"/>
        <s v="Italy"/>
        <s v="Ivory Coast"/>
        <s v="Jamaica"/>
        <s v="Japan"/>
        <s v="Jersey"/>
        <s v="Jordan"/>
        <s v="Kazakhstan"/>
        <s v="Kenya"/>
        <s v="Kiribati"/>
        <s v="Kuwait"/>
        <s v="Kyrgyzstan"/>
        <s v="Laos"/>
        <s v="Latvia"/>
        <s v="Lebanon"/>
        <s v="Lesotho"/>
        <s v="Liberia"/>
        <s v="Libya"/>
        <s v="Liechtenstein"/>
        <s v="Lithuania"/>
        <s v="Luxembourg"/>
        <s v="Macau"/>
        <s v="Madagascar"/>
        <s v="Malawi"/>
        <s v="Malaysia"/>
        <s v="Maldives"/>
        <s v="Mali"/>
        <s v="Malta"/>
        <s v="Marshall Islands"/>
        <s v="Martinique"/>
        <s v="Mauritania"/>
        <s v="Mauritius"/>
        <s v="Mayotte"/>
        <s v="Mexico"/>
        <s v="Micronesia"/>
        <s v="Moldova"/>
        <s v="Monaco"/>
        <s v="Mongolia"/>
        <s v="Montenegro"/>
        <s v="Montserrat"/>
        <s v="Morocco"/>
        <s v="Mozambique"/>
        <s v="Myanmar"/>
        <s v="Namibia"/>
        <s v="Nauru"/>
        <s v="Nepal"/>
        <s v="Netherlands"/>
        <s v="New Caledonia"/>
        <s v="New Zealand"/>
        <s v="Nicaragua"/>
        <s v="Niger"/>
        <s v="Nigeria"/>
        <s v="Niue"/>
        <s v="North Korea"/>
        <s v="North Macedonia"/>
        <s v="Northern Mariana Islands"/>
        <s v="Norway"/>
        <s v="Oman"/>
        <s v="Pakistan"/>
        <s v="Palau"/>
        <s v="Palestine"/>
        <s v="Panama"/>
        <s v="Papua New Guinea"/>
        <s v="Paraguay"/>
        <s v="Peru"/>
        <s v="Philippines"/>
        <s v="Poland"/>
        <s v="Portugal"/>
        <s v="Puerto Rico"/>
        <s v="Qatar"/>
        <s v="Republic of the Congo"/>
        <s v="Reunion"/>
        <s v="Romania"/>
        <s v="Russia"/>
        <s v="Rwanda"/>
        <s v="Saint Barthelemy"/>
        <s v="Saint Kitts and Nevis"/>
        <s v="Saint Lucia"/>
        <s v="Saint Martin"/>
        <s v="Saint Pierre and Miquelon"/>
        <s v="Saint Vincent and the Grenadines"/>
        <s v="Samoa"/>
        <s v="San Marino"/>
        <s v="Sao Tome and Principe"/>
        <s v="Saudi Arabia"/>
        <s v="Senegal"/>
        <s v="Serbia"/>
        <s v="Seychelles"/>
        <s v="Sierra Leone"/>
        <s v="Singapore"/>
        <s v="Sint Maarten"/>
        <s v="Slovakia"/>
        <s v="Slovenia"/>
        <s v="Solomon Islands"/>
        <s v="Somalia"/>
        <s v="South Africa"/>
        <s v="South Korea"/>
        <s v="South Sudan"/>
        <s v="Spain"/>
        <s v="Sri Lanka"/>
        <s v="Sudan"/>
        <s v="Suriname"/>
        <s v="Sweden"/>
        <s v="Switzerland"/>
        <s v="Syria"/>
        <s v="Taiwan"/>
        <s v="Tajikistan"/>
        <s v="Tanzania"/>
        <s v="Thailand"/>
        <s v="Timor-Leste"/>
        <s v="Togo"/>
        <s v="Tokelau"/>
        <s v="Tonga"/>
        <s v="Trinidad and Tobago"/>
        <s v="Tunisia"/>
        <s v="Turkey"/>
        <s v="Turkmenistan"/>
        <s v="Turks and Caicos Islands"/>
        <s v="Tuvalu"/>
        <s v="Uganda"/>
        <s v="Ukraine"/>
        <s v="United Arab Emirates"/>
        <s v="United Kingdom"/>
        <s v="United States"/>
        <s v="United States Virgin Islands"/>
        <s v="Uruguay"/>
        <s v="Uzbekistan"/>
        <s v="Vanuatu"/>
        <s v="Vatican City"/>
        <s v="Venezuela"/>
        <s v="Vietnam"/>
        <s v="Wallis and Futuna"/>
        <s v="Western Sahara"/>
        <s v="Yemen"/>
        <s v="Zambia"/>
        <s v="Zimbabwe"/>
      </sharedItems>
    </cacheField>
    <cacheField name="Capital" numFmtId="0">
      <sharedItems count="234">
        <s v="Kabul"/>
        <s v="Tirana"/>
        <s v="Algiers"/>
        <s v="Pago Pago"/>
        <s v="Andorra la Vella"/>
        <s v="Luanda"/>
        <s v="The Valley"/>
        <s v="Saint Johnâ€™s"/>
        <s v="Buenos Aires"/>
        <s v="Yerevan"/>
        <s v="Oranjestad"/>
        <s v="Canberra"/>
        <s v="Vienna"/>
        <s v="Baku"/>
        <s v="Nassau"/>
        <s v="Manama"/>
        <s v="Dhaka"/>
        <s v="Bridgetown"/>
        <s v="Minsk"/>
        <s v="Brussels"/>
        <s v="Belmopan"/>
        <s v="Porto-Novo"/>
        <s v="Hamilton"/>
        <s v="Thimphu"/>
        <s v="Sucre"/>
        <s v="Sarajevo"/>
        <s v="Gaborone"/>
        <s v="Brasilia"/>
        <s v="Road Town"/>
        <s v="Bandar Seri Begawan"/>
        <s v="Sofia"/>
        <s v="Ouagadougou"/>
        <s v="Bujumbura"/>
        <s v="Phnom Penh"/>
        <s v="Yaounde"/>
        <s v="Ottawa"/>
        <s v="Praia"/>
        <s v="George Town"/>
        <s v="Bangui"/>
        <s v="N'Djamena"/>
        <s v="Santiago"/>
        <s v="Beijing"/>
        <s v="Bogota"/>
        <s v="Moroni"/>
        <s v="Avarua"/>
        <s v="San JosÃ©"/>
        <s v="Zagreb"/>
        <s v="Havana"/>
        <s v="Willemstad"/>
        <s v="Nicosia"/>
        <s v="Prague"/>
        <s v="Copenhagen"/>
        <s v="Djibouti"/>
        <s v="Roseau"/>
        <s v="Santo Domingo"/>
        <s v="Kinshasa"/>
        <s v="Quito"/>
        <s v="Cairo"/>
        <s v="San Salvador"/>
        <s v="Malabo"/>
        <s v="Asmara"/>
        <s v="Tallinn"/>
        <s v="Mbabane"/>
        <s v="Addis Ababa"/>
        <s v="Stanley"/>
        <s v="TÃ³rshavn"/>
        <s v="Suva"/>
        <s v="Helsinki"/>
        <s v="Paris"/>
        <s v="Cayenne"/>
        <s v="Papeete"/>
        <s v="Libreville"/>
        <s v="Banjul"/>
        <s v="Tbilisi"/>
        <s v="Berlin"/>
        <s v="Accra"/>
        <s v="Gibraltar"/>
        <s v="Athens"/>
        <s v="Nuuk"/>
        <s v="Saint George's"/>
        <s v="Basse-Terre"/>
        <s v="HagÃ¥tÃ±a"/>
        <s v="Guatemala City"/>
        <s v="Saint Peter Port"/>
        <s v="Conakry"/>
        <s v="Bissau"/>
        <s v="Georgetown"/>
        <s v="Port-au-Prince"/>
        <s v="Tegucigalpa"/>
        <s v="Hong Kong"/>
        <s v="Budapest"/>
        <s v="ReykjavÃ­k"/>
        <s v="New Delhi"/>
        <s v="Jakarta"/>
        <s v="Tehran"/>
        <s v="Baghdad"/>
        <s v="Dublin"/>
        <s v="Douglas"/>
        <s v="Jerusalem"/>
        <s v="Rome"/>
        <s v="Yamoussoukro"/>
        <s v="Kingston"/>
        <s v="Tokyo"/>
        <s v="Saint Helier"/>
        <s v="Amman"/>
        <s v="Nursultan"/>
        <s v="Nairobi"/>
        <s v="Tarawa"/>
        <s v="Kuwait City"/>
        <s v="Bishkek"/>
        <s v="Vientiane"/>
        <s v="Riga"/>
        <s v="Beirut"/>
        <s v="Maseru"/>
        <s v="Monrovia"/>
        <s v="Tripoli"/>
        <s v="Vaduz"/>
        <s v="Vilnius"/>
        <s v="Luxembourg"/>
        <s v="Concelho de Macau"/>
        <s v="Antananarivo"/>
        <s v="Lilongwe"/>
        <s v="Kuala Lumpur"/>
        <s v="MalÃ©"/>
        <s v="Bamako"/>
        <s v="Valletta"/>
        <s v="Majuro"/>
        <s v="Fort-de-France"/>
        <s v="Nouakchott"/>
        <s v="Port Louis"/>
        <s v="Mamoudzou"/>
        <s v="Mexico City"/>
        <s v="Palikir"/>
        <s v="Chisinau"/>
        <s v="Monaco"/>
        <s v="Ulaanbaatar"/>
        <s v="Podgorica"/>
        <s v="Brades"/>
        <s v="Rabat"/>
        <s v="Maputo"/>
        <s v="Nay Pyi Taw"/>
        <s v="Windhoek"/>
        <s v="Yaren"/>
        <s v="Kathmandu"/>
        <s v="Amsterdam"/>
        <s v="NoumÃ©a"/>
        <s v="Wellington"/>
        <s v="Managua"/>
        <s v="Niamey"/>
        <s v="Abuja"/>
        <s v="Alofi"/>
        <s v="Pyongyang"/>
        <s v="Skopje"/>
        <s v="Saipan"/>
        <s v="Oslo"/>
        <s v="Muscat"/>
        <s v="Islamabad"/>
        <s v="Ngerulmud"/>
        <s v="Ramallah"/>
        <s v="Panama City"/>
        <s v="Port Moresby"/>
        <s v="AsunciÃ³n"/>
        <s v="Lima"/>
        <s v="Manila"/>
        <s v="Warsaw"/>
        <s v="Lisbon"/>
        <s v="San Juan"/>
        <s v="Doha"/>
        <s v="Brazzaville"/>
        <s v="Saint-Denis"/>
        <s v="Bucharest"/>
        <s v="Moscow"/>
        <s v="Kigali"/>
        <s v="Gustavia"/>
        <s v="Basseterre"/>
        <s v="Castries"/>
        <s v="Marigot"/>
        <s v="Saint-Pierre"/>
        <s v="Kingstown"/>
        <s v="Apia"/>
        <s v="San Marino"/>
        <s v="SÃ£o TomÃ©"/>
        <s v="Riyadh"/>
        <s v="Dakar"/>
        <s v="Belgrade"/>
        <s v="Victoria"/>
        <s v="Freetown"/>
        <s v="Singapore"/>
        <s v="Philipsburg"/>
        <s v="Bratislava"/>
        <s v="Ljubljana"/>
        <s v="Honiara"/>
        <s v="Mogadishu"/>
        <s v="Pretoria"/>
        <s v="Seoul"/>
        <s v="Juba"/>
        <s v="Madrid"/>
        <s v="Colombo"/>
        <s v="Khartoum"/>
        <s v="Paramaribo"/>
        <s v="Stockholm"/>
        <s v="Bern"/>
        <s v="Damascus"/>
        <s v="Taipei"/>
        <s v="Dushanbe"/>
        <s v="Dodoma"/>
        <s v="Bangkok"/>
        <s v="Dili"/>
        <s v="LomÃ©"/>
        <s v="Nukunonu"/>
        <s v="Nukuâ€˜alofa"/>
        <s v="Port-of-Spain"/>
        <s v="Tunis"/>
        <s v="Ankara"/>
        <s v="Ashgabat"/>
        <s v="Cockburn Town"/>
        <s v="Funafuti"/>
        <s v="Kampala"/>
        <s v="Kiev"/>
        <s v="Abu Dhabi"/>
        <s v="London"/>
        <s v="Washington, D.C."/>
        <s v="Charlotte Amalie"/>
        <s v="Montevideo"/>
        <s v="Tashkent"/>
        <s v="Port-Vila"/>
        <s v="Vatican City"/>
        <s v="Caracas"/>
        <s v="Hanoi"/>
        <s v="Mata-Utu"/>
        <s v="El AaiÃºn"/>
        <s v="Sanaa"/>
        <s v="Lusaka"/>
        <s v="Harare"/>
      </sharedItems>
    </cacheField>
    <cacheField name="Continent" numFmtId="0">
      <sharedItems count="6">
        <s v="Asia"/>
        <s v="Europe"/>
        <s v="Africa"/>
        <s v="Oceania"/>
        <s v="North America"/>
        <s v="South America"/>
      </sharedItems>
    </cacheField>
    <cacheField name="2022 Population" numFmtId="164">
      <sharedItems containsSemiMixedTypes="0" containsString="0" containsNumber="1" containsInteger="1" minValue="510" maxValue="1425887337" count="234">
        <n v="41128771"/>
        <n v="2842321"/>
        <n v="44903225"/>
        <n v="44273"/>
        <n v="79824"/>
        <n v="35588987"/>
        <n v="15857"/>
        <n v="93763"/>
        <n v="45510318"/>
        <n v="2780469"/>
        <n v="106445"/>
        <n v="26177413"/>
        <n v="8939617"/>
        <n v="10358074"/>
        <n v="409984"/>
        <n v="1472233"/>
        <n v="171186372"/>
        <n v="281635"/>
        <n v="9534954"/>
        <n v="11655930"/>
        <n v="405272"/>
        <n v="13352864"/>
        <n v="64184"/>
        <n v="782455"/>
        <n v="12224110"/>
        <n v="3233526"/>
        <n v="2630296"/>
        <n v="215313498"/>
        <n v="31305"/>
        <n v="449002"/>
        <n v="6781953"/>
        <n v="22673762"/>
        <n v="12889576"/>
        <n v="16767842"/>
        <n v="27914536"/>
        <n v="38454327"/>
        <n v="593149"/>
        <n v="68706"/>
        <n v="5579144"/>
        <n v="17723315"/>
        <n v="19603733"/>
        <n v="1425887337"/>
        <n v="51874024"/>
        <n v="836774"/>
        <n v="17011"/>
        <n v="5180829"/>
        <n v="4030358"/>
        <n v="11212191"/>
        <n v="191163"/>
        <n v="1251488"/>
        <n v="10493986"/>
        <n v="5882261"/>
        <n v="1120849"/>
        <n v="72737"/>
        <n v="11228821"/>
        <n v="99010212"/>
        <n v="18001000"/>
        <n v="110990103"/>
        <n v="6336392"/>
        <n v="1674908"/>
        <n v="3684032"/>
        <n v="1326062"/>
        <n v="1201670"/>
        <n v="123379924"/>
        <n v="3780"/>
        <n v="53090"/>
        <n v="929766"/>
        <n v="5540745"/>
        <n v="64626628"/>
        <n v="304557"/>
        <n v="306279"/>
        <n v="2388992"/>
        <n v="2705992"/>
        <n v="3744385"/>
        <n v="83369843"/>
        <n v="33475870"/>
        <n v="32649"/>
        <n v="10384971"/>
        <n v="56466"/>
        <n v="125438"/>
        <n v="395752"/>
        <n v="171774"/>
        <n v="17843908"/>
        <n v="63301"/>
        <n v="13859341"/>
        <n v="2105566"/>
        <n v="808726"/>
        <n v="11584996"/>
        <n v="10432860"/>
        <n v="7488865"/>
        <n v="9967308"/>
        <n v="372899"/>
        <n v="1417173173"/>
        <n v="275501339"/>
        <n v="88550570"/>
        <n v="44496122"/>
        <n v="5023109"/>
        <n v="84519"/>
        <n v="9038309"/>
        <n v="59037474"/>
        <n v="28160542"/>
        <n v="2827377"/>
        <n v="123951692"/>
        <n v="110778"/>
        <n v="11285869"/>
        <n v="19397998"/>
        <n v="54027487"/>
        <n v="131232"/>
        <n v="4268873"/>
        <n v="6630623"/>
        <n v="7529475"/>
        <n v="1850651"/>
        <n v="5489739"/>
        <n v="2305825"/>
        <n v="5302681"/>
        <n v="6812341"/>
        <n v="39327"/>
        <n v="2750055"/>
        <n v="647599"/>
        <n v="695168"/>
        <n v="29611714"/>
        <n v="20405317"/>
        <n v="33938221"/>
        <n v="523787"/>
        <n v="22593590"/>
        <n v="533286"/>
        <n v="41569"/>
        <n v="367507"/>
        <n v="4736139"/>
        <n v="1299469"/>
        <n v="326101"/>
        <n v="127504125"/>
        <n v="114164"/>
        <n v="3272996"/>
        <n v="36469"/>
        <n v="3398366"/>
        <n v="627082"/>
        <n v="4390"/>
        <n v="37457971"/>
        <n v="32969517"/>
        <n v="54179306"/>
        <n v="2567012"/>
        <n v="12668"/>
        <n v="30547580"/>
        <n v="17564014"/>
        <n v="289950"/>
        <n v="5185288"/>
        <n v="6948392"/>
        <n v="26207977"/>
        <n v="218541212"/>
        <n v="1934"/>
        <n v="26069416"/>
        <n v="2093599"/>
        <n v="49551"/>
        <n v="5434319"/>
        <n v="4576298"/>
        <n v="235824862"/>
        <n v="18055"/>
        <n v="5250072"/>
        <n v="4408581"/>
        <n v="10142619"/>
        <n v="6780744"/>
        <n v="34049588"/>
        <n v="115559009"/>
        <n v="39857145"/>
        <n v="10270865"/>
        <n v="3252407"/>
        <n v="2695122"/>
        <n v="5970424"/>
        <n v="974052"/>
        <n v="19659267"/>
        <n v="144713314"/>
        <n v="13776698"/>
        <n v="10967"/>
        <n v="47657"/>
        <n v="179857"/>
        <n v="31791"/>
        <n v="5862"/>
        <n v="103948"/>
        <n v="222382"/>
        <n v="33660"/>
        <n v="227380"/>
        <n v="36408820"/>
        <n v="17316449"/>
        <n v="7221365"/>
        <n v="107118"/>
        <n v="8605718"/>
        <n v="5975689"/>
        <n v="44175"/>
        <n v="5643453"/>
        <n v="2119844"/>
        <n v="724273"/>
        <n v="17597511"/>
        <n v="59893885"/>
        <n v="51815810"/>
        <n v="10913164"/>
        <n v="47558630"/>
        <n v="21832143"/>
        <n v="46874204"/>
        <n v="618040"/>
        <n v="10549347"/>
        <n v="8740472"/>
        <n v="22125249"/>
        <n v="23893394"/>
        <n v="9952787"/>
        <n v="65497748"/>
        <n v="71697030"/>
        <n v="1341296"/>
        <n v="8848699"/>
        <n v="1871"/>
        <n v="106858"/>
        <n v="1531044"/>
        <n v="12356117"/>
        <n v="85341241"/>
        <n v="6430770"/>
        <n v="45703"/>
        <n v="11312"/>
        <n v="47249585"/>
        <n v="39701739"/>
        <n v="9441129"/>
        <n v="67508936"/>
        <n v="338289857"/>
        <n v="99465"/>
        <n v="3422794"/>
        <n v="34627652"/>
        <n v="326740"/>
        <n v="510"/>
        <n v="28301696"/>
        <n v="98186856"/>
        <n v="11572"/>
        <n v="575986"/>
        <n v="33696614"/>
        <n v="20017675"/>
        <n v="16320537"/>
      </sharedItems>
    </cacheField>
    <cacheField name="2020 Population" numFmtId="164">
      <sharedItems containsSemiMixedTypes="0" containsString="0" containsNumber="1" containsInteger="1" minValue="520" maxValue="1424929781"/>
    </cacheField>
    <cacheField name="2015 Population" numFmtId="164">
      <sharedItems containsSemiMixedTypes="0" containsString="0" containsNumber="1" containsInteger="1" minValue="564" maxValue="1393715448"/>
    </cacheField>
    <cacheField name="2010 Population" numFmtId="164">
      <sharedItems containsSemiMixedTypes="0" containsString="0" containsNumber="1" containsInteger="1" minValue="596" maxValue="1348191368"/>
    </cacheField>
    <cacheField name="2000 Population" numFmtId="164">
      <sharedItems containsSemiMixedTypes="0" containsString="0" containsNumber="1" containsInteger="1" minValue="651" maxValue="1264099069"/>
    </cacheField>
    <cacheField name="1990 Population" numFmtId="164">
      <sharedItems containsSemiMixedTypes="0" containsString="0" containsNumber="1" containsInteger="1" minValue="700" maxValue="1153704252"/>
    </cacheField>
    <cacheField name="1980 Population" numFmtId="164">
      <sharedItems containsSemiMixedTypes="0" containsString="0" containsNumber="1" containsInteger="1" minValue="733" maxValue="982372466"/>
    </cacheField>
    <cacheField name="1970 Population" numFmtId="164">
      <sharedItems containsSemiMixedTypes="0" containsString="0" containsNumber="1" containsInteger="1" minValue="752" maxValue="822534450"/>
    </cacheField>
    <cacheField name="Area (kmÂ²)" numFmtId="165">
      <sharedItems containsSemiMixedTypes="0" containsString="0" containsNumber="1" containsInteger="1" minValue="1" maxValue="17098242"/>
    </cacheField>
    <cacheField name="Density (per kmÂ²)" numFmtId="43">
      <sharedItems containsSemiMixedTypes="0" containsString="0" containsNumber="1" minValue="2.6100000000000002E-2" maxValue="23172.2667"/>
    </cacheField>
    <cacheField name="Growth Rate" numFmtId="43">
      <sharedItems containsSemiMixedTypes="0" containsString="0" containsNumber="1" minValue="0.91200000000000003" maxValue="1.0690999999999999" count="180">
        <n v="1.0257000000000001"/>
        <n v="0.99570000000000003"/>
        <n v="1.0164"/>
        <n v="0.98309999999999997"/>
        <n v="1.01"/>
        <n v="1.0315000000000001"/>
        <n v="1.0065999999999999"/>
        <n v="1.0058"/>
        <n v="1.0052000000000001"/>
        <n v="0.99619999999999997"/>
        <n v="0.99909999999999999"/>
        <n v="1.0099"/>
        <n v="1.002"/>
        <n v="1.0044"/>
        <n v="1.0051000000000001"/>
        <n v="1.0061"/>
        <n v="1.0107999999999999"/>
        <n v="1.0015000000000001"/>
        <n v="0.99550000000000005"/>
        <n v="1.0038"/>
        <n v="1.0130999999999999"/>
        <n v="1.0274000000000001"/>
        <n v="1"/>
        <n v="1.0064"/>
        <n v="1.012"/>
        <n v="0.98860000000000003"/>
        <n v="1.0162"/>
        <n v="1.0045999999999999"/>
        <n v="1.0059"/>
        <n v="1.0081"/>
        <n v="0.9849"/>
        <n v="1.0259"/>
        <n v="1.0269999999999999"/>
        <n v="1.0263"/>
        <n v="1.0078"/>
        <n v="1.0088999999999999"/>
        <n v="1.0084"/>
        <n v="1.0224"/>
        <n v="1.0316000000000001"/>
        <n v="1.0057"/>
        <n v="1.0068999999999999"/>
        <n v="1.0184"/>
        <n v="1.0004999999999999"/>
        <n v="0.99270000000000003"/>
        <n v="0.99609999999999999"/>
        <n v="1.0043"/>
        <n v="0.99839999999999995"/>
        <n v="1.0047999999999999"/>
        <n v="1.0138"/>
        <n v="1.0044999999999999"/>
        <n v="1.0325"/>
        <n v="1.0114000000000001"/>
        <n v="1.0158"/>
        <n v="1.0035000000000001"/>
        <n v="1.0246999999999999"/>
        <n v="1.0176000000000001"/>
        <n v="0.998"/>
        <n v="1.0079"/>
        <n v="1.0056"/>
        <n v="1.0008999999999999"/>
        <n v="1.0239"/>
        <n v="1.0074000000000001"/>
        <n v="1.0204"/>
        <n v="1.0249999999999999"/>
        <n v="0.99639999999999995"/>
        <n v="0.99950000000000006"/>
        <n v="1.0196000000000001"/>
        <n v="0.99939999999999996"/>
        <n v="0.99419999999999997"/>
        <n v="1.004"/>
        <n v="0.99919999999999998"/>
        <n v="1.0073000000000001"/>
        <n v="1.0134000000000001"/>
        <n v="1.0037"/>
        <n v="1.0242"/>
        <n v="1.0218"/>
        <n v="1.0149999999999999"/>
        <n v="1.0265"/>
        <n v="1.0067999999999999"/>
        <n v="1.0071000000000001"/>
        <n v="1.0221"/>
        <n v="1.0029999999999999"/>
        <n v="1.0155000000000001"/>
        <n v="0.99660000000000004"/>
        <n v="1.0247999999999999"/>
        <n v="0.99990000000000001"/>
        <n v="0.99470000000000003"/>
        <n v="1.0105999999999999"/>
        <n v="1.0123"/>
        <n v="1.0105"/>
        <n v="1.0193000000000001"/>
        <n v="1.0183"/>
        <n v="1.0141"/>
        <n v="0.98760000000000003"/>
        <n v="0.98160000000000003"/>
        <n v="1.0106999999999999"/>
        <n v="1.0209999999999999"/>
        <n v="0.9869"/>
        <n v="1.0128999999999999"/>
        <n v="1.0125"/>
        <n v="1.0241"/>
        <n v="1.0108999999999999"/>
        <n v="1.0314000000000001"/>
        <n v="1.0124"/>
        <n v="0.99650000000000005"/>
        <n v="1.0004"/>
        <n v="1.0319"/>
        <n v="1.0063"/>
        <n v="1.0091000000000001"/>
        <n v="1.0690999999999999"/>
        <n v="0.99409999999999998"/>
        <n v="1.0150999999999999"/>
        <n v="0.99880000000000002"/>
        <n v="0.99390000000000001"/>
        <n v="1.0103"/>
        <n v="1.0278"/>
        <n v="1.0145999999999999"/>
        <n v="1.0170999999999999"/>
        <n v="1.0036"/>
        <n v="1.0075000000000001"/>
        <n v="1.0143"/>
        <n v="1.0378000000000001"/>
        <n v="0.99850000000000005"/>
        <n v="0.99539999999999995"/>
        <n v="1.0014000000000001"/>
        <n v="1.0190999999999999"/>
        <n v="1.0017"/>
        <n v="1.0226999999999999"/>
        <n v="1.0132000000000001"/>
        <n v="1.0194000000000001"/>
        <n v="1.0115000000000001"/>
        <n v="1.0146999999999999"/>
        <n v="1.0404"/>
        <n v="0.99809999999999999"/>
        <n v="0.99890000000000001"/>
        <n v="1.0025999999999999"/>
        <n v="1.0230999999999999"/>
        <n v="1.0082"/>
        <n v="0.99729999999999996"/>
        <n v="1.0234000000000001"/>
        <n v="1.0098"/>
        <n v="1.0011000000000001"/>
        <n v="0.99509999999999998"/>
        <n v="0.99629999999999996"/>
        <n v="1.0165"/>
        <n v="0.99750000000000005"/>
        <n v="1.0192000000000001"/>
        <n v="1.0127999999999999"/>
        <n v="1.0261"/>
        <n v="0.98970000000000002"/>
        <n v="1.022"/>
        <n v="1.0359"/>
        <n v="1.0002"/>
        <n v="1.0232000000000001"/>
        <n v="1.0311999999999999"/>
        <n v="0.99970000000000003"/>
        <n v="1.0153000000000001"/>
        <n v="1.0026999999999999"/>
        <n v="1.0266999999999999"/>
        <n v="1.0376000000000001"/>
        <n v="1.0207999999999999"/>
        <n v="1.03"/>
        <n v="1.0013000000000001"/>
        <n v="1.0154000000000001"/>
        <n v="1.0236000000000001"/>
        <n v="1.0119"/>
        <n v="1.0076000000000001"/>
        <n v="1.0066999999999999"/>
        <n v="1.014"/>
        <n v="1.0096000000000001"/>
        <n v="1.0304"/>
        <n v="0.91200000000000003"/>
        <n v="1.0034000000000001"/>
        <n v="0.99370000000000003"/>
        <n v="0.999"/>
        <n v="1.016"/>
        <n v="1.0238"/>
        <n v="0.99529999999999996"/>
        <n v="1.0217000000000001"/>
        <n v="1.028"/>
      </sharedItems>
    </cacheField>
    <cacheField name="World Population Percentage" numFmtId="0">
      <sharedItems containsSemiMixedTypes="0" containsString="0" containsNumber="1" minValue="0" maxValue="17.88"/>
    </cacheField>
  </cacheFields>
  <extLst>
    <ext xmlns:x14="http://schemas.microsoft.com/office/spreadsheetml/2009/9/main" uri="{725AE2AE-9491-48be-B2B4-4EB974FC3084}">
      <x14:pivotCacheDefinition pivotCacheId="1429799907"/>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34">
  <r>
    <n v="36"/>
    <s v="AFG"/>
    <x v="0"/>
    <x v="0"/>
    <x v="0"/>
    <x v="0"/>
    <n v="38972230"/>
    <n v="33753499"/>
    <n v="28189672"/>
    <n v="19542982"/>
    <n v="10694796"/>
    <n v="12486631"/>
    <n v="10752971"/>
    <n v="652230"/>
    <n v="63.058700000000002"/>
    <x v="0"/>
    <n v="0.52"/>
  </r>
  <r>
    <n v="138"/>
    <s v="ALB"/>
    <x v="1"/>
    <x v="1"/>
    <x v="1"/>
    <x v="1"/>
    <n v="2866849"/>
    <n v="2882481"/>
    <n v="2913399"/>
    <n v="3182021"/>
    <n v="3295066"/>
    <n v="2941651"/>
    <n v="2324731"/>
    <n v="28748"/>
    <n v="98.870199999999997"/>
    <x v="1"/>
    <n v="0.04"/>
  </r>
  <r>
    <n v="34"/>
    <s v="DZA"/>
    <x v="2"/>
    <x v="2"/>
    <x v="2"/>
    <x v="2"/>
    <n v="43451666"/>
    <n v="39543154"/>
    <n v="35856344"/>
    <n v="30774621"/>
    <n v="25518074"/>
    <n v="18739378"/>
    <n v="13795915"/>
    <n v="2381741"/>
    <n v="18.853100000000001"/>
    <x v="2"/>
    <n v="0.56000000000000005"/>
  </r>
  <r>
    <n v="213"/>
    <s v="ASM"/>
    <x v="3"/>
    <x v="3"/>
    <x v="3"/>
    <x v="3"/>
    <n v="46189"/>
    <n v="51368"/>
    <n v="54849"/>
    <n v="58230"/>
    <n v="47818"/>
    <n v="32886"/>
    <n v="27075"/>
    <n v="199"/>
    <n v="222.47739999999999"/>
    <x v="3"/>
    <n v="0"/>
  </r>
  <r>
    <n v="203"/>
    <s v="AND"/>
    <x v="4"/>
    <x v="4"/>
    <x v="1"/>
    <x v="4"/>
    <n v="77700"/>
    <n v="71746"/>
    <n v="71519"/>
    <n v="66097"/>
    <n v="53569"/>
    <n v="35611"/>
    <n v="19860"/>
    <n v="468"/>
    <n v="170.5641"/>
    <x v="4"/>
    <n v="0"/>
  </r>
  <r>
    <n v="42"/>
    <s v="AGO"/>
    <x v="5"/>
    <x v="5"/>
    <x v="2"/>
    <x v="5"/>
    <n v="33428485"/>
    <n v="28127721"/>
    <n v="23364185"/>
    <n v="16394062"/>
    <n v="11828638"/>
    <n v="8330047"/>
    <n v="6029700"/>
    <n v="1246700"/>
    <n v="28.546600000000002"/>
    <x v="5"/>
    <n v="0.45"/>
  </r>
  <r>
    <n v="224"/>
    <s v="AIA"/>
    <x v="6"/>
    <x v="6"/>
    <x v="4"/>
    <x v="6"/>
    <n v="15585"/>
    <n v="14525"/>
    <n v="13172"/>
    <n v="11047"/>
    <n v="8316"/>
    <n v="6560"/>
    <n v="6283"/>
    <n v="91"/>
    <n v="174.2527"/>
    <x v="6"/>
    <n v="0"/>
  </r>
  <r>
    <n v="201"/>
    <s v="ATG"/>
    <x v="7"/>
    <x v="7"/>
    <x v="4"/>
    <x v="7"/>
    <n v="92664"/>
    <n v="89941"/>
    <n v="85695"/>
    <n v="75055"/>
    <n v="63328"/>
    <n v="64888"/>
    <n v="64516"/>
    <n v="442"/>
    <n v="212.1335"/>
    <x v="7"/>
    <n v="0"/>
  </r>
  <r>
    <n v="33"/>
    <s v="ARG"/>
    <x v="8"/>
    <x v="8"/>
    <x v="5"/>
    <x v="8"/>
    <n v="45036032"/>
    <n v="43257065"/>
    <n v="41100123"/>
    <n v="37070774"/>
    <n v="32637657"/>
    <n v="28024803"/>
    <n v="23842803"/>
    <n v="2780400"/>
    <n v="16.368300000000001"/>
    <x v="8"/>
    <n v="0.56999999999999995"/>
  </r>
  <r>
    <n v="140"/>
    <s v="ARM"/>
    <x v="9"/>
    <x v="9"/>
    <x v="0"/>
    <x v="9"/>
    <n v="2805608"/>
    <n v="2878595"/>
    <n v="2946293"/>
    <n v="3168523"/>
    <n v="3556539"/>
    <n v="3135123"/>
    <n v="2534377"/>
    <n v="29743"/>
    <n v="93.483099999999993"/>
    <x v="9"/>
    <n v="0.03"/>
  </r>
  <r>
    <n v="198"/>
    <s v="ABW"/>
    <x v="10"/>
    <x v="10"/>
    <x v="4"/>
    <x v="10"/>
    <n v="106585"/>
    <n v="104257"/>
    <n v="100341"/>
    <n v="89101"/>
    <n v="65712"/>
    <n v="62267"/>
    <n v="59106"/>
    <n v="180"/>
    <n v="591.36109999999996"/>
    <x v="10"/>
    <n v="0"/>
  </r>
  <r>
    <n v="55"/>
    <s v="AUS"/>
    <x v="11"/>
    <x v="11"/>
    <x v="3"/>
    <x v="11"/>
    <n v="25670051"/>
    <n v="23820236"/>
    <n v="22019168"/>
    <n v="19017963"/>
    <n v="17048003"/>
    <n v="14706322"/>
    <n v="12595034"/>
    <n v="7692024"/>
    <n v="3.4032"/>
    <x v="11"/>
    <n v="0.33"/>
  </r>
  <r>
    <n v="99"/>
    <s v="AUT"/>
    <x v="12"/>
    <x v="12"/>
    <x v="1"/>
    <x v="12"/>
    <n v="8907777"/>
    <n v="8642421"/>
    <n v="8362829"/>
    <n v="8010428"/>
    <n v="7678729"/>
    <n v="7547561"/>
    <n v="7465301"/>
    <n v="83871"/>
    <n v="106.5877"/>
    <x v="12"/>
    <n v="0.11"/>
  </r>
  <r>
    <n v="91"/>
    <s v="AZE"/>
    <x v="13"/>
    <x v="13"/>
    <x v="0"/>
    <x v="13"/>
    <n v="10284951"/>
    <n v="9863480"/>
    <n v="9237202"/>
    <n v="8190337"/>
    <n v="7427836"/>
    <n v="6383060"/>
    <n v="5425317"/>
    <n v="86600"/>
    <n v="119.6082"/>
    <x v="13"/>
    <n v="0.13"/>
  </r>
  <r>
    <n v="176"/>
    <s v="BHS"/>
    <x v="14"/>
    <x v="14"/>
    <x v="4"/>
    <x v="14"/>
    <n v="406471"/>
    <n v="392697"/>
    <n v="373272"/>
    <n v="325014"/>
    <n v="270679"/>
    <n v="223752"/>
    <n v="179129"/>
    <n v="13943"/>
    <n v="29.404299999999999"/>
    <x v="14"/>
    <n v="0.01"/>
  </r>
  <r>
    <n v="154"/>
    <s v="BHR"/>
    <x v="15"/>
    <x v="15"/>
    <x v="0"/>
    <x v="15"/>
    <n v="1477469"/>
    <n v="1362142"/>
    <n v="1213645"/>
    <n v="711442"/>
    <n v="517418"/>
    <n v="362595"/>
    <n v="222555"/>
    <n v="765"/>
    <n v="1924.4875999999999"/>
    <x v="15"/>
    <n v="0.02"/>
  </r>
  <r>
    <n v="8"/>
    <s v="BGD"/>
    <x v="16"/>
    <x v="16"/>
    <x v="0"/>
    <x v="16"/>
    <n v="167420951"/>
    <n v="157830000"/>
    <n v="148391139"/>
    <n v="129193327"/>
    <n v="107147651"/>
    <n v="83929765"/>
    <n v="67541860"/>
    <n v="147570"/>
    <n v="1160.0350000000001"/>
    <x v="16"/>
    <n v="2.15"/>
  </r>
  <r>
    <n v="186"/>
    <s v="BRB"/>
    <x v="17"/>
    <x v="17"/>
    <x v="4"/>
    <x v="17"/>
    <n v="280693"/>
    <n v="278083"/>
    <n v="274711"/>
    <n v="264657"/>
    <n v="258868"/>
    <n v="253575"/>
    <n v="241397"/>
    <n v="430"/>
    <n v="654.96510000000001"/>
    <x v="17"/>
    <n v="0"/>
  </r>
  <r>
    <n v="96"/>
    <s v="BLR"/>
    <x v="18"/>
    <x v="18"/>
    <x v="1"/>
    <x v="18"/>
    <n v="9633740"/>
    <n v="9700609"/>
    <n v="9731427"/>
    <n v="10256483"/>
    <n v="10428525"/>
    <n v="9817257"/>
    <n v="9170786"/>
    <n v="207600"/>
    <n v="45.929499999999997"/>
    <x v="18"/>
    <n v="0.12"/>
  </r>
  <r>
    <n v="81"/>
    <s v="BEL"/>
    <x v="19"/>
    <x v="19"/>
    <x v="1"/>
    <x v="19"/>
    <n v="11561717"/>
    <n v="11248303"/>
    <n v="10877947"/>
    <n v="10264343"/>
    <n v="9959560"/>
    <n v="9828986"/>
    <n v="9629376"/>
    <n v="30528"/>
    <n v="381.81110000000001"/>
    <x v="19"/>
    <n v="0.15"/>
  </r>
  <r>
    <n v="177"/>
    <s v="BLZ"/>
    <x v="20"/>
    <x v="20"/>
    <x v="4"/>
    <x v="20"/>
    <n v="394921"/>
    <n v="359871"/>
    <n v="322106"/>
    <n v="240406"/>
    <n v="182589"/>
    <n v="145133"/>
    <n v="120905"/>
    <n v="22966"/>
    <n v="17.646599999999999"/>
    <x v="20"/>
    <n v="0.01"/>
  </r>
  <r>
    <n v="77"/>
    <s v="BEN"/>
    <x v="21"/>
    <x v="21"/>
    <x v="2"/>
    <x v="21"/>
    <n v="12643123"/>
    <n v="10932783"/>
    <n v="9445710"/>
    <n v="6998023"/>
    <n v="5133419"/>
    <n v="3833939"/>
    <n v="3023443"/>
    <n v="112622"/>
    <n v="118.5635"/>
    <x v="21"/>
    <n v="0.17"/>
  </r>
  <r>
    <n v="206"/>
    <s v="BMU"/>
    <x v="22"/>
    <x v="22"/>
    <x v="4"/>
    <x v="22"/>
    <n v="64031"/>
    <n v="63144"/>
    <n v="63447"/>
    <n v="61371"/>
    <n v="57470"/>
    <n v="53565"/>
    <n v="52019"/>
    <n v="54"/>
    <n v="1188.5925999999999"/>
    <x v="22"/>
    <n v="0"/>
  </r>
  <r>
    <n v="165"/>
    <s v="BTN"/>
    <x v="23"/>
    <x v="23"/>
    <x v="0"/>
    <x v="23"/>
    <n v="772506"/>
    <n v="743274"/>
    <n v="705516"/>
    <n v="587207"/>
    <n v="558442"/>
    <n v="415257"/>
    <n v="298894"/>
    <n v="38394"/>
    <n v="20.3796"/>
    <x v="23"/>
    <n v="0.01"/>
  </r>
  <r>
    <n v="80"/>
    <s v="BOL"/>
    <x v="24"/>
    <x v="24"/>
    <x v="5"/>
    <x v="24"/>
    <n v="11936162"/>
    <n v="11090085"/>
    <n v="10223270"/>
    <n v="8592656"/>
    <n v="7096194"/>
    <n v="5736088"/>
    <n v="4585693"/>
    <n v="1098581"/>
    <n v="11.1272"/>
    <x v="24"/>
    <n v="0.15"/>
  </r>
  <r>
    <n v="137"/>
    <s v="BIH"/>
    <x v="25"/>
    <x v="25"/>
    <x v="1"/>
    <x v="25"/>
    <n v="3318407"/>
    <n v="3524324"/>
    <n v="3811088"/>
    <n v="4179350"/>
    <n v="4494310"/>
    <n v="4199820"/>
    <n v="3815561"/>
    <n v="51209"/>
    <n v="63.143700000000003"/>
    <x v="25"/>
    <n v="0.04"/>
  </r>
  <r>
    <n v="144"/>
    <s v="BWA"/>
    <x v="26"/>
    <x v="26"/>
    <x v="2"/>
    <x v="26"/>
    <n v="2546402"/>
    <n v="2305171"/>
    <n v="2091664"/>
    <n v="1726985"/>
    <n v="1341474"/>
    <n v="938578"/>
    <n v="592244"/>
    <n v="582000"/>
    <n v="4.5194000000000001"/>
    <x v="26"/>
    <n v="0.03"/>
  </r>
  <r>
    <n v="7"/>
    <s v="BRA"/>
    <x v="27"/>
    <x v="27"/>
    <x v="5"/>
    <x v="27"/>
    <n v="213196304"/>
    <n v="205188205"/>
    <n v="196353492"/>
    <n v="175873720"/>
    <n v="150706446"/>
    <n v="122288383"/>
    <n v="96369875"/>
    <n v="8515767"/>
    <n v="25.284099999999999"/>
    <x v="27"/>
    <n v="2.7"/>
  </r>
  <r>
    <n v="221"/>
    <s v="VGB"/>
    <x v="28"/>
    <x v="28"/>
    <x v="4"/>
    <x v="28"/>
    <n v="30910"/>
    <n v="29366"/>
    <n v="27556"/>
    <n v="20104"/>
    <n v="15617"/>
    <n v="11109"/>
    <n v="9581"/>
    <n v="151"/>
    <n v="207.31790000000001"/>
    <x v="28"/>
    <n v="0"/>
  </r>
  <r>
    <n v="175"/>
    <s v="BRN"/>
    <x v="29"/>
    <x v="29"/>
    <x v="0"/>
    <x v="29"/>
    <n v="441725"/>
    <n v="421437"/>
    <n v="396053"/>
    <n v="333926"/>
    <n v="261928"/>
    <n v="187921"/>
    <n v="133343"/>
    <n v="5765"/>
    <n v="77.884100000000004"/>
    <x v="29"/>
    <n v="0.01"/>
  </r>
  <r>
    <n v="108"/>
    <s v="BGR"/>
    <x v="30"/>
    <x v="30"/>
    <x v="1"/>
    <x v="30"/>
    <n v="6979175"/>
    <n v="7309253"/>
    <n v="7592273"/>
    <n v="8097691"/>
    <n v="8767778"/>
    <n v="8980606"/>
    <n v="8582950"/>
    <n v="110879"/>
    <n v="61.165399999999998"/>
    <x v="30"/>
    <n v="0.09"/>
  </r>
  <r>
    <n v="58"/>
    <s v="BFA"/>
    <x v="31"/>
    <x v="31"/>
    <x v="2"/>
    <x v="31"/>
    <n v="21522626"/>
    <n v="18718019"/>
    <n v="16116845"/>
    <n v="11882888"/>
    <n v="9131361"/>
    <n v="6932967"/>
    <n v="5611666"/>
    <n v="272967"/>
    <n v="83.064099999999996"/>
    <x v="31"/>
    <n v="0.28000000000000003"/>
  </r>
  <r>
    <n v="78"/>
    <s v="BDI"/>
    <x v="32"/>
    <x v="32"/>
    <x v="2"/>
    <x v="32"/>
    <n v="12220227"/>
    <n v="10727148"/>
    <n v="9126605"/>
    <n v="6307659"/>
    <n v="5483793"/>
    <n v="4312834"/>
    <n v="3497834"/>
    <n v="27834"/>
    <n v="463.0874"/>
    <x v="32"/>
    <n v="0.16"/>
  </r>
  <r>
    <n v="73"/>
    <s v="KHM"/>
    <x v="33"/>
    <x v="33"/>
    <x v="0"/>
    <x v="33"/>
    <n v="16396860"/>
    <n v="15417523"/>
    <n v="14363532"/>
    <n v="12118841"/>
    <n v="8910808"/>
    <n v="6198959"/>
    <n v="6708525"/>
    <n v="181035"/>
    <n v="92.622100000000003"/>
    <x v="16"/>
    <n v="0.21"/>
  </r>
  <r>
    <n v="53"/>
    <s v="CMR"/>
    <x v="34"/>
    <x v="34"/>
    <x v="2"/>
    <x v="34"/>
    <n v="26491087"/>
    <n v="23012646"/>
    <n v="19878036"/>
    <n v="15091594"/>
    <n v="11430520"/>
    <n v="8519891"/>
    <n v="6452787"/>
    <n v="475442"/>
    <n v="58.712800000000001"/>
    <x v="33"/>
    <n v="0.35"/>
  </r>
  <r>
    <n v="39"/>
    <s v="CAN"/>
    <x v="35"/>
    <x v="35"/>
    <x v="4"/>
    <x v="35"/>
    <n v="37888705"/>
    <n v="35732126"/>
    <n v="33963412"/>
    <n v="30683313"/>
    <n v="27657204"/>
    <n v="24511510"/>
    <n v="21434577"/>
    <n v="9984670"/>
    <n v="3.8513000000000002"/>
    <x v="34"/>
    <n v="0.48"/>
  </r>
  <r>
    <n v="171"/>
    <s v="CPV"/>
    <x v="36"/>
    <x v="36"/>
    <x v="2"/>
    <x v="36"/>
    <n v="582640"/>
    <n v="552166"/>
    <n v="521212"/>
    <n v="458251"/>
    <n v="364563"/>
    <n v="317234"/>
    <n v="287262"/>
    <n v="4033"/>
    <n v="147.07390000000001"/>
    <x v="35"/>
    <n v="0.01"/>
  </r>
  <r>
    <n v="205"/>
    <s v="CYM"/>
    <x v="37"/>
    <x v="37"/>
    <x v="4"/>
    <x v="37"/>
    <n v="67311"/>
    <n v="60911"/>
    <n v="54074"/>
    <n v="39658"/>
    <n v="26027"/>
    <n v="17100"/>
    <n v="10533"/>
    <n v="264"/>
    <n v="260.25"/>
    <x v="36"/>
    <n v="0"/>
  </r>
  <r>
    <n v="117"/>
    <s v="CAF"/>
    <x v="38"/>
    <x v="38"/>
    <x v="2"/>
    <x v="38"/>
    <n v="5343020"/>
    <n v="4819333"/>
    <n v="4660067"/>
    <n v="3759170"/>
    <n v="2809221"/>
    <n v="2415276"/>
    <n v="2067356"/>
    <n v="622984"/>
    <n v="8.9555000000000007"/>
    <x v="37"/>
    <n v="7.0000000000000007E-2"/>
  </r>
  <r>
    <n v="69"/>
    <s v="TCD"/>
    <x v="39"/>
    <x v="39"/>
    <x v="2"/>
    <x v="39"/>
    <n v="16644701"/>
    <n v="14140274"/>
    <n v="11894727"/>
    <n v="8259137"/>
    <n v="5827069"/>
    <n v="4408230"/>
    <n v="3667394"/>
    <n v="1284000"/>
    <n v="13.8032"/>
    <x v="38"/>
    <n v="0.22"/>
  </r>
  <r>
    <n v="65"/>
    <s v="CHL"/>
    <x v="40"/>
    <x v="40"/>
    <x v="5"/>
    <x v="40"/>
    <n v="19300315"/>
    <n v="17870124"/>
    <n v="17004162"/>
    <n v="15351799"/>
    <n v="13342868"/>
    <n v="11469828"/>
    <n v="9820481"/>
    <n v="756102"/>
    <n v="25.927399999999999"/>
    <x v="39"/>
    <n v="0.25"/>
  </r>
  <r>
    <n v="1"/>
    <s v="CHN"/>
    <x v="41"/>
    <x v="41"/>
    <x v="0"/>
    <x v="41"/>
    <n v="1424929781"/>
    <n v="1393715448"/>
    <n v="1348191368"/>
    <n v="1264099069"/>
    <n v="1153704252"/>
    <n v="982372466"/>
    <n v="822534450"/>
    <n v="9706961"/>
    <n v="146.89330000000001"/>
    <x v="22"/>
    <n v="17.88"/>
  </r>
  <r>
    <n v="28"/>
    <s v="COL"/>
    <x v="42"/>
    <x v="42"/>
    <x v="5"/>
    <x v="42"/>
    <n v="50930662"/>
    <n v="47119728"/>
    <n v="44816108"/>
    <n v="39215135"/>
    <n v="32601393"/>
    <n v="26176195"/>
    <n v="20905254"/>
    <n v="1141748"/>
    <n v="45.433900000000001"/>
    <x v="40"/>
    <n v="0.65"/>
  </r>
  <r>
    <n v="163"/>
    <s v="COM"/>
    <x v="43"/>
    <x v="43"/>
    <x v="2"/>
    <x v="43"/>
    <n v="806166"/>
    <n v="730216"/>
    <n v="656024"/>
    <n v="536758"/>
    <n v="431119"/>
    <n v="328328"/>
    <n v="242351"/>
    <n v="1862"/>
    <n v="449.39530000000002"/>
    <x v="41"/>
    <n v="0.01"/>
  </r>
  <r>
    <n v="223"/>
    <s v="COK"/>
    <x v="44"/>
    <x v="44"/>
    <x v="3"/>
    <x v="44"/>
    <n v="17029"/>
    <n v="17695"/>
    <n v="17212"/>
    <n v="15897"/>
    <n v="17123"/>
    <n v="17651"/>
    <n v="20470"/>
    <n v="236"/>
    <n v="72.080500000000001"/>
    <x v="42"/>
    <n v="0"/>
  </r>
  <r>
    <n v="124"/>
    <s v="CRI"/>
    <x v="45"/>
    <x v="45"/>
    <x v="4"/>
    <x v="45"/>
    <n v="5123105"/>
    <n v="4895242"/>
    <n v="4622252"/>
    <n v="3979193"/>
    <n v="3158253"/>
    <n v="2414303"/>
    <n v="1855697"/>
    <n v="51100"/>
    <n v="101.3861"/>
    <x v="8"/>
    <n v="0.06"/>
  </r>
  <r>
    <n v="130"/>
    <s v="HRV"/>
    <x v="46"/>
    <x v="46"/>
    <x v="1"/>
    <x v="46"/>
    <n v="4096868"/>
    <n v="4254815"/>
    <n v="4368682"/>
    <n v="4548434"/>
    <n v="4873707"/>
    <n v="4680144"/>
    <n v="4492638"/>
    <n v="56594"/>
    <n v="71.215299999999999"/>
    <x v="43"/>
    <n v="0.05"/>
  </r>
  <r>
    <n v="85"/>
    <s v="CUB"/>
    <x v="47"/>
    <x v="47"/>
    <x v="4"/>
    <x v="47"/>
    <n v="11300698"/>
    <n v="11339894"/>
    <n v="11290417"/>
    <n v="11105791"/>
    <n v="10626680"/>
    <n v="9809107"/>
    <n v="8869636"/>
    <n v="109884"/>
    <n v="102.03660000000001"/>
    <x v="44"/>
    <n v="0.14000000000000001"/>
  </r>
  <r>
    <n v="189"/>
    <s v="CUW"/>
    <x v="48"/>
    <x v="48"/>
    <x v="4"/>
    <x v="48"/>
    <n v="189288"/>
    <n v="169572"/>
    <n v="159380"/>
    <n v="141424"/>
    <n v="155446"/>
    <n v="156851"/>
    <n v="150385"/>
    <n v="444"/>
    <n v="430.54730000000001"/>
    <x v="45"/>
    <n v="0"/>
  </r>
  <r>
    <n v="158"/>
    <s v="CYP"/>
    <x v="49"/>
    <x v="49"/>
    <x v="1"/>
    <x v="49"/>
    <n v="1237537"/>
    <n v="1187280"/>
    <n v="1129686"/>
    <n v="948237"/>
    <n v="788500"/>
    <n v="679327"/>
    <n v="640804"/>
    <n v="9251"/>
    <n v="135.28139999999999"/>
    <x v="28"/>
    <n v="0.02"/>
  </r>
  <r>
    <n v="88"/>
    <s v="CZE"/>
    <x v="50"/>
    <x v="50"/>
    <x v="1"/>
    <x v="50"/>
    <n v="10530953"/>
    <n v="10523798"/>
    <n v="10464749"/>
    <n v="10234710"/>
    <n v="10301192"/>
    <n v="10270060"/>
    <n v="9795744"/>
    <n v="78865"/>
    <n v="133.06270000000001"/>
    <x v="46"/>
    <n v="0.13"/>
  </r>
  <r>
    <n v="115"/>
    <s v="DNK"/>
    <x v="51"/>
    <x v="51"/>
    <x v="1"/>
    <x v="51"/>
    <n v="5825641"/>
    <n v="5677796"/>
    <n v="5550849"/>
    <n v="5340655"/>
    <n v="5144623"/>
    <n v="5125392"/>
    <n v="4922963"/>
    <n v="43094"/>
    <n v="136.4984"/>
    <x v="47"/>
    <n v="7.0000000000000007E-2"/>
  </r>
  <r>
    <n v="160"/>
    <s v="DJI"/>
    <x v="52"/>
    <x v="52"/>
    <x v="2"/>
    <x v="52"/>
    <n v="1090156"/>
    <n v="1006259"/>
    <n v="919199"/>
    <n v="742033"/>
    <n v="577173"/>
    <n v="324121"/>
    <n v="144379"/>
    <n v="23200"/>
    <n v="48.3125"/>
    <x v="48"/>
    <n v="0.01"/>
  </r>
  <r>
    <n v="204"/>
    <s v="DMA"/>
    <x v="53"/>
    <x v="53"/>
    <x v="4"/>
    <x v="53"/>
    <n v="71995"/>
    <n v="70007"/>
    <n v="68755"/>
    <n v="68346"/>
    <n v="69481"/>
    <n v="72978"/>
    <n v="68895"/>
    <n v="751"/>
    <n v="96.853499999999997"/>
    <x v="49"/>
    <n v="0"/>
  </r>
  <r>
    <n v="84"/>
    <s v="DOM"/>
    <x v="54"/>
    <x v="54"/>
    <x v="4"/>
    <x v="54"/>
    <n v="10999664"/>
    <n v="10405832"/>
    <n v="9775755"/>
    <n v="8540791"/>
    <n v="7129004"/>
    <n v="5755800"/>
    <n v="4475871"/>
    <n v="48671"/>
    <n v="230.70869999999999"/>
    <x v="4"/>
    <n v="0.14000000000000001"/>
  </r>
  <r>
    <n v="15"/>
    <s v="COD"/>
    <x v="55"/>
    <x v="55"/>
    <x v="2"/>
    <x v="55"/>
    <n v="92853164"/>
    <n v="78656904"/>
    <n v="66391257"/>
    <n v="48616317"/>
    <n v="35987541"/>
    <n v="26708686"/>
    <n v="20151733"/>
    <n v="2344858"/>
    <n v="42.224400000000003"/>
    <x v="50"/>
    <n v="1.24"/>
  </r>
  <r>
    <n v="67"/>
    <s v="ECU"/>
    <x v="56"/>
    <x v="56"/>
    <x v="5"/>
    <x v="56"/>
    <n v="17588595"/>
    <n v="16195902"/>
    <n v="14989585"/>
    <n v="12626507"/>
    <n v="10449837"/>
    <n v="8135845"/>
    <n v="6172215"/>
    <n v="276841"/>
    <n v="65.022900000000007"/>
    <x v="51"/>
    <n v="0.23"/>
  </r>
  <r>
    <n v="14"/>
    <s v="EGY"/>
    <x v="57"/>
    <x v="57"/>
    <x v="2"/>
    <x v="57"/>
    <n v="107465134"/>
    <n v="97723799"/>
    <n v="87252413"/>
    <n v="71371371"/>
    <n v="57214630"/>
    <n v="43748556"/>
    <n v="34781986"/>
    <n v="1002450"/>
    <n v="110.7188"/>
    <x v="52"/>
    <n v="1.39"/>
  </r>
  <r>
    <n v="112"/>
    <s v="SLV"/>
    <x v="58"/>
    <x v="58"/>
    <x v="4"/>
    <x v="58"/>
    <n v="6292731"/>
    <n v="6231066"/>
    <n v="6114034"/>
    <n v="5958482"/>
    <n v="5367179"/>
    <n v="4508992"/>
    <n v="3619090"/>
    <n v="21041"/>
    <n v="301.14499999999998"/>
    <x v="53"/>
    <n v="0.08"/>
  </r>
  <r>
    <n v="152"/>
    <s v="GNQ"/>
    <x v="59"/>
    <x v="59"/>
    <x v="2"/>
    <x v="59"/>
    <n v="1596049"/>
    <n v="1346973"/>
    <n v="1094524"/>
    <n v="684977"/>
    <n v="465549"/>
    <n v="282509"/>
    <n v="316955"/>
    <n v="28051"/>
    <n v="59.709400000000002"/>
    <x v="54"/>
    <n v="0.02"/>
  </r>
  <r>
    <n v="132"/>
    <s v="ERI"/>
    <x v="60"/>
    <x v="60"/>
    <x v="2"/>
    <x v="60"/>
    <n v="3555868"/>
    <n v="3340006"/>
    <n v="3147727"/>
    <n v="2392880"/>
    <n v="2149960"/>
    <n v="1657982"/>
    <n v="1272748"/>
    <n v="117600"/>
    <n v="31.326799999999999"/>
    <x v="55"/>
    <n v="0.05"/>
  </r>
  <r>
    <n v="156"/>
    <s v="EST"/>
    <x v="61"/>
    <x v="61"/>
    <x v="1"/>
    <x v="61"/>
    <n v="1329444"/>
    <n v="1314657"/>
    <n v="1331535"/>
    <n v="1396877"/>
    <n v="1570674"/>
    <n v="1476983"/>
    <n v="1361999"/>
    <n v="45227"/>
    <n v="29.3201"/>
    <x v="56"/>
    <n v="0.02"/>
  </r>
  <r>
    <n v="159"/>
    <s v="SWZ"/>
    <x v="62"/>
    <x v="62"/>
    <x v="2"/>
    <x v="62"/>
    <n v="1180655"/>
    <n v="1133936"/>
    <n v="1099920"/>
    <n v="1030496"/>
    <n v="854011"/>
    <n v="598564"/>
    <n v="442865"/>
    <n v="17364"/>
    <n v="69.204700000000003"/>
    <x v="57"/>
    <n v="0.02"/>
  </r>
  <r>
    <n v="12"/>
    <s v="ETH"/>
    <x v="63"/>
    <x v="63"/>
    <x v="2"/>
    <x v="63"/>
    <n v="117190911"/>
    <n v="102471895"/>
    <n v="89237791"/>
    <n v="67031867"/>
    <n v="47878073"/>
    <n v="34945469"/>
    <n v="28308246"/>
    <n v="1104300"/>
    <n v="111.7268"/>
    <x v="0"/>
    <n v="1.55"/>
  </r>
  <r>
    <n v="231"/>
    <s v="FLK"/>
    <x v="64"/>
    <x v="64"/>
    <x v="5"/>
    <x v="64"/>
    <n v="3747"/>
    <n v="3408"/>
    <n v="3187"/>
    <n v="3080"/>
    <n v="2332"/>
    <n v="2240"/>
    <n v="2274"/>
    <n v="12173"/>
    <n v="0.3105"/>
    <x v="45"/>
    <n v="0"/>
  </r>
  <r>
    <n v="209"/>
    <s v="FRO"/>
    <x v="65"/>
    <x v="65"/>
    <x v="1"/>
    <x v="65"/>
    <n v="52415"/>
    <n v="48816"/>
    <n v="48410"/>
    <n v="45660"/>
    <n v="47479"/>
    <n v="43054"/>
    <n v="38416"/>
    <n v="1393"/>
    <n v="38.112000000000002"/>
    <x v="19"/>
    <n v="0"/>
  </r>
  <r>
    <n v="162"/>
    <s v="FJI"/>
    <x v="66"/>
    <x v="66"/>
    <x v="3"/>
    <x v="66"/>
    <n v="920422"/>
    <n v="917200"/>
    <n v="905169"/>
    <n v="832509"/>
    <n v="780430"/>
    <n v="644582"/>
    <n v="527634"/>
    <n v="18272"/>
    <n v="50.884700000000002"/>
    <x v="58"/>
    <n v="0.01"/>
  </r>
  <r>
    <n v="118"/>
    <s v="FIN"/>
    <x v="67"/>
    <x v="67"/>
    <x v="1"/>
    <x v="67"/>
    <n v="5529468"/>
    <n v="5479461"/>
    <n v="5363271"/>
    <n v="5176209"/>
    <n v="4986545"/>
    <n v="4779418"/>
    <n v="4606621"/>
    <n v="338424"/>
    <n v="16.372199999999999"/>
    <x v="59"/>
    <n v="7.0000000000000007E-2"/>
  </r>
  <r>
    <n v="23"/>
    <s v="FRA"/>
    <x v="68"/>
    <x v="68"/>
    <x v="1"/>
    <x v="68"/>
    <n v="64480053"/>
    <n v="63809769"/>
    <n v="62444567"/>
    <n v="58665453"/>
    <n v="56412897"/>
    <n v="53713830"/>
    <n v="50523586"/>
    <n v="551695"/>
    <n v="117.14190000000001"/>
    <x v="17"/>
    <n v="0.81"/>
  </r>
  <r>
    <n v="184"/>
    <s v="GUF"/>
    <x v="69"/>
    <x v="69"/>
    <x v="5"/>
    <x v="69"/>
    <n v="290969"/>
    <n v="257026"/>
    <n v="228453"/>
    <n v="164351"/>
    <n v="113931"/>
    <n v="66825"/>
    <n v="46484"/>
    <n v="83534"/>
    <n v="3.6459000000000001"/>
    <x v="60"/>
    <n v="0"/>
  </r>
  <r>
    <n v="183"/>
    <s v="PYF"/>
    <x v="70"/>
    <x v="70"/>
    <x v="3"/>
    <x v="70"/>
    <n v="301920"/>
    <n v="291787"/>
    <n v="283788"/>
    <n v="250927"/>
    <n v="211089"/>
    <n v="163591"/>
    <n v="117891"/>
    <n v="4167"/>
    <n v="73.501099999999994"/>
    <x v="61"/>
    <n v="0"/>
  </r>
  <r>
    <n v="146"/>
    <s v="GAB"/>
    <x v="71"/>
    <x v="71"/>
    <x v="2"/>
    <x v="71"/>
    <n v="2292573"/>
    <n v="2028517"/>
    <n v="1711105"/>
    <n v="1272935"/>
    <n v="983028"/>
    <n v="749078"/>
    <n v="597192"/>
    <n v="267668"/>
    <n v="8.9252000000000002"/>
    <x v="62"/>
    <n v="0.03"/>
  </r>
  <r>
    <n v="142"/>
    <s v="GMB"/>
    <x v="72"/>
    <x v="72"/>
    <x v="2"/>
    <x v="72"/>
    <n v="2573995"/>
    <n v="2253133"/>
    <n v="1937275"/>
    <n v="1437539"/>
    <n v="1040616"/>
    <n v="718586"/>
    <n v="528731"/>
    <n v="10689"/>
    <n v="253.1567"/>
    <x v="63"/>
    <n v="0.03"/>
  </r>
  <r>
    <n v="131"/>
    <s v="GEO"/>
    <x v="73"/>
    <x v="73"/>
    <x v="0"/>
    <x v="73"/>
    <n v="3765912"/>
    <n v="3771132"/>
    <n v="3836831"/>
    <n v="4265172"/>
    <n v="5391636"/>
    <n v="5145843"/>
    <n v="4800426"/>
    <n v="69700"/>
    <n v="53.721400000000003"/>
    <x v="64"/>
    <n v="0.05"/>
  </r>
  <r>
    <n v="19"/>
    <s v="DEU"/>
    <x v="74"/>
    <x v="74"/>
    <x v="1"/>
    <x v="74"/>
    <n v="83328988"/>
    <n v="82073226"/>
    <n v="81325090"/>
    <n v="81551677"/>
    <n v="79370196"/>
    <n v="77786703"/>
    <n v="78294583"/>
    <n v="357114"/>
    <n v="233.45439999999999"/>
    <x v="65"/>
    <n v="1.05"/>
  </r>
  <r>
    <n v="47"/>
    <s v="GHA"/>
    <x v="75"/>
    <x v="75"/>
    <x v="2"/>
    <x v="75"/>
    <n v="32180401"/>
    <n v="28870939"/>
    <n v="25574719"/>
    <n v="19665502"/>
    <n v="15446982"/>
    <n v="11865246"/>
    <n v="8861895"/>
    <n v="238533"/>
    <n v="140.34059999999999"/>
    <x v="66"/>
    <n v="0.42"/>
  </r>
  <r>
    <n v="219"/>
    <s v="GIB"/>
    <x v="76"/>
    <x v="76"/>
    <x v="1"/>
    <x v="76"/>
    <n v="32709"/>
    <n v="32520"/>
    <n v="31262"/>
    <n v="27741"/>
    <n v="27317"/>
    <n v="28734"/>
    <n v="26685"/>
    <n v="6"/>
    <n v="5441.5"/>
    <x v="67"/>
    <n v="0"/>
  </r>
  <r>
    <n v="90"/>
    <s v="GRC"/>
    <x v="77"/>
    <x v="77"/>
    <x v="1"/>
    <x v="77"/>
    <n v="10512232"/>
    <n v="10806641"/>
    <n v="11033783"/>
    <n v="11038109"/>
    <n v="10302255"/>
    <n v="9307148"/>
    <n v="8544873"/>
    <n v="131990"/>
    <n v="78.680000000000007"/>
    <x v="68"/>
    <n v="0.13"/>
  </r>
  <r>
    <n v="208"/>
    <s v="GRL"/>
    <x v="78"/>
    <x v="78"/>
    <x v="4"/>
    <x v="78"/>
    <n v="56026"/>
    <n v="55895"/>
    <n v="56351"/>
    <n v="56184"/>
    <n v="55599"/>
    <n v="50106"/>
    <n v="45434"/>
    <n v="2166086"/>
    <n v="2.6100000000000002E-2"/>
    <x v="69"/>
    <n v="0"/>
  </r>
  <r>
    <n v="193"/>
    <s v="GRD"/>
    <x v="79"/>
    <x v="79"/>
    <x v="4"/>
    <x v="79"/>
    <n v="123663"/>
    <n v="118980"/>
    <n v="114039"/>
    <n v="107432"/>
    <n v="99047"/>
    <n v="94838"/>
    <n v="98794"/>
    <n v="344"/>
    <n v="364.64530000000002"/>
    <x v="6"/>
    <n v="0"/>
  </r>
  <r>
    <n v="178"/>
    <s v="GLP"/>
    <x v="80"/>
    <x v="80"/>
    <x v="4"/>
    <x v="80"/>
    <n v="395642"/>
    <n v="399089"/>
    <n v="403072"/>
    <n v="424067"/>
    <n v="391951"/>
    <n v="334234"/>
    <n v="318310"/>
    <n v="1628"/>
    <n v="243.0909"/>
    <x v="70"/>
    <n v="0"/>
  </r>
  <r>
    <n v="191"/>
    <s v="GUM"/>
    <x v="81"/>
    <x v="81"/>
    <x v="3"/>
    <x v="81"/>
    <n v="169231"/>
    <n v="167978"/>
    <n v="164905"/>
    <n v="160188"/>
    <n v="138263"/>
    <n v="110286"/>
    <n v="88300"/>
    <n v="549"/>
    <n v="312.8852"/>
    <x v="71"/>
    <n v="0"/>
  </r>
  <r>
    <n v="68"/>
    <s v="GTM"/>
    <x v="82"/>
    <x v="82"/>
    <x v="4"/>
    <x v="82"/>
    <n v="17362718"/>
    <n v="16001107"/>
    <n v="14543121"/>
    <n v="11735894"/>
    <n v="9084780"/>
    <n v="6987767"/>
    <n v="5453208"/>
    <n v="108889"/>
    <n v="163.8725"/>
    <x v="72"/>
    <n v="0.22"/>
  </r>
  <r>
    <n v="207"/>
    <s v="GGY"/>
    <x v="83"/>
    <x v="83"/>
    <x v="1"/>
    <x v="83"/>
    <n v="62794"/>
    <n v="61629"/>
    <n v="60782"/>
    <n v="59114"/>
    <n v="57727"/>
    <n v="52860"/>
    <n v="52656"/>
    <n v="78"/>
    <n v="811.55129999999997"/>
    <x v="73"/>
    <n v="0"/>
  </r>
  <r>
    <n v="75"/>
    <s v="GIN"/>
    <x v="84"/>
    <x v="84"/>
    <x v="2"/>
    <x v="84"/>
    <n v="13205153"/>
    <n v="11625998"/>
    <n v="10270728"/>
    <n v="8336967"/>
    <n v="6354145"/>
    <n v="4972609"/>
    <n v="4222374"/>
    <n v="245857"/>
    <n v="56.371600000000001"/>
    <x v="74"/>
    <n v="0.17"/>
  </r>
  <r>
    <n v="149"/>
    <s v="GNB"/>
    <x v="85"/>
    <x v="85"/>
    <x v="2"/>
    <x v="85"/>
    <n v="2015828"/>
    <n v="1788919"/>
    <n v="1567220"/>
    <n v="1230849"/>
    <n v="973551"/>
    <n v="831462"/>
    <n v="591663"/>
    <n v="36125"/>
    <n v="58.285600000000002"/>
    <x v="75"/>
    <n v="0.03"/>
  </r>
  <r>
    <n v="164"/>
    <s v="GUY"/>
    <x v="86"/>
    <x v="86"/>
    <x v="5"/>
    <x v="86"/>
    <n v="797202"/>
    <n v="755031"/>
    <n v="747932"/>
    <n v="759051"/>
    <n v="747116"/>
    <n v="778176"/>
    <n v="705261"/>
    <n v="214969"/>
    <n v="3.7621000000000002"/>
    <x v="8"/>
    <n v="0.01"/>
  </r>
  <r>
    <n v="82"/>
    <s v="HTI"/>
    <x v="87"/>
    <x v="87"/>
    <x v="4"/>
    <x v="87"/>
    <n v="11306801"/>
    <n v="10563757"/>
    <n v="9842880"/>
    <n v="8360225"/>
    <n v="6925331"/>
    <n v="5646676"/>
    <n v="4680812"/>
    <n v="27750"/>
    <n v="417.47730000000001"/>
    <x v="24"/>
    <n v="0.15"/>
  </r>
  <r>
    <n v="89"/>
    <s v="HND"/>
    <x v="88"/>
    <x v="88"/>
    <x v="4"/>
    <x v="88"/>
    <n v="10121763"/>
    <n v="9294505"/>
    <n v="8450933"/>
    <n v="6656725"/>
    <n v="5053234"/>
    <n v="3777990"/>
    <n v="2782753"/>
    <n v="112492"/>
    <n v="92.743099999999998"/>
    <x v="76"/>
    <n v="0.13"/>
  </r>
  <r>
    <n v="104"/>
    <s v="HKG"/>
    <x v="89"/>
    <x v="89"/>
    <x v="0"/>
    <x v="89"/>
    <n v="7500958"/>
    <n v="7399838"/>
    <n v="7132438"/>
    <n v="6731195"/>
    <n v="5838574"/>
    <n v="4978544"/>
    <n v="3955072"/>
    <n v="1104"/>
    <n v="6783.3922000000002"/>
    <x v="70"/>
    <n v="0.09"/>
  </r>
  <r>
    <n v="94"/>
    <s v="HUN"/>
    <x v="90"/>
    <x v="90"/>
    <x v="1"/>
    <x v="90"/>
    <n v="9750573"/>
    <n v="9844246"/>
    <n v="9986825"/>
    <n v="10202055"/>
    <n v="10375989"/>
    <n v="10698679"/>
    <n v="10315366"/>
    <n v="93028"/>
    <n v="107.1431"/>
    <x v="77"/>
    <n v="0.12"/>
  </r>
  <r>
    <n v="179"/>
    <s v="ISL"/>
    <x v="91"/>
    <x v="91"/>
    <x v="1"/>
    <x v="91"/>
    <n v="366669"/>
    <n v="331060"/>
    <n v="318333"/>
    <n v="281462"/>
    <n v="255019"/>
    <n v="228263"/>
    <n v="204468"/>
    <n v="103000"/>
    <n v="3.6204000000000001"/>
    <x v="40"/>
    <n v="0"/>
  </r>
  <r>
    <n v="2"/>
    <s v="IND"/>
    <x v="92"/>
    <x v="92"/>
    <x v="0"/>
    <x v="92"/>
    <n v="1396387127"/>
    <n v="1322866505"/>
    <n v="1240613620"/>
    <n v="1059633675"/>
    <n v="870452165"/>
    <n v="696828385"/>
    <n v="557501301"/>
    <n v="3287590"/>
    <n v="431.0675"/>
    <x v="78"/>
    <n v="17.77"/>
  </r>
  <r>
    <n v="4"/>
    <s v="IDN"/>
    <x v="93"/>
    <x v="93"/>
    <x v="0"/>
    <x v="93"/>
    <n v="271857970"/>
    <n v="259091970"/>
    <n v="244016173"/>
    <n v="214072421"/>
    <n v="182159874"/>
    <n v="148177096"/>
    <n v="115228394"/>
    <n v="1904569"/>
    <n v="144.65289999999999"/>
    <x v="23"/>
    <n v="3.45"/>
  </r>
  <r>
    <n v="17"/>
    <s v="IRN"/>
    <x v="94"/>
    <x v="94"/>
    <x v="0"/>
    <x v="94"/>
    <n v="87290193"/>
    <n v="81790841"/>
    <n v="75373855"/>
    <n v="65544383"/>
    <n v="55793629"/>
    <n v="38520664"/>
    <n v="28449705"/>
    <n v="1648195"/>
    <n v="53.7258"/>
    <x v="79"/>
    <n v="1.1100000000000001"/>
  </r>
  <r>
    <n v="35"/>
    <s v="IRQ"/>
    <x v="95"/>
    <x v="95"/>
    <x v="0"/>
    <x v="95"/>
    <n v="42556984"/>
    <n v="37757813"/>
    <n v="31264875"/>
    <n v="24628858"/>
    <n v="17658381"/>
    <n v="13653369"/>
    <n v="9811347"/>
    <n v="438317"/>
    <n v="101.5158"/>
    <x v="80"/>
    <n v="0.56000000000000005"/>
  </r>
  <r>
    <n v="125"/>
    <s v="IRL"/>
    <x v="96"/>
    <x v="96"/>
    <x v="1"/>
    <x v="96"/>
    <n v="4946119"/>
    <n v="4665760"/>
    <n v="4524585"/>
    <n v="3768950"/>
    <n v="3485374"/>
    <n v="3391387"/>
    <n v="2937637"/>
    <n v="70273"/>
    <n v="71.479900000000001"/>
    <x v="71"/>
    <n v="0.06"/>
  </r>
  <r>
    <n v="202"/>
    <s v="IMN"/>
    <x v="97"/>
    <x v="97"/>
    <x v="1"/>
    <x v="97"/>
    <n v="84046"/>
    <n v="83593"/>
    <n v="83828"/>
    <n v="75562"/>
    <n v="68865"/>
    <n v="64022"/>
    <n v="55298"/>
    <n v="572"/>
    <n v="147.76050000000001"/>
    <x v="81"/>
    <n v="0"/>
  </r>
  <r>
    <n v="98"/>
    <s v="ISR"/>
    <x v="98"/>
    <x v="98"/>
    <x v="0"/>
    <x v="98"/>
    <n v="8757489"/>
    <n v="8007778"/>
    <n v="7328445"/>
    <n v="6116958"/>
    <n v="4803254"/>
    <n v="3744608"/>
    <n v="2907307"/>
    <n v="20770"/>
    <n v="435.1617"/>
    <x v="82"/>
    <n v="0.11"/>
  </r>
  <r>
    <n v="25"/>
    <s v="ITA"/>
    <x v="99"/>
    <x v="99"/>
    <x v="1"/>
    <x v="99"/>
    <n v="59500579"/>
    <n v="60232906"/>
    <n v="59822450"/>
    <n v="56966397"/>
    <n v="56756561"/>
    <n v="56329482"/>
    <n v="53324036"/>
    <n v="301336"/>
    <n v="195.91909999999999"/>
    <x v="83"/>
    <n v="0.74"/>
  </r>
  <r>
    <n v="52"/>
    <s v="CIV"/>
    <x v="100"/>
    <x v="100"/>
    <x v="2"/>
    <x v="100"/>
    <n v="26811790"/>
    <n v="23596741"/>
    <n v="21120042"/>
    <n v="16799670"/>
    <n v="11910540"/>
    <n v="8303809"/>
    <n v="5477086"/>
    <n v="322463"/>
    <n v="87.329499999999996"/>
    <x v="84"/>
    <n v="0.35"/>
  </r>
  <r>
    <n v="139"/>
    <s v="JAM"/>
    <x v="101"/>
    <x v="101"/>
    <x v="4"/>
    <x v="101"/>
    <n v="2820436"/>
    <n v="2794445"/>
    <n v="2733896"/>
    <n v="2612205"/>
    <n v="2392030"/>
    <n v="2135546"/>
    <n v="1859091"/>
    <n v="10991"/>
    <n v="257.24470000000002"/>
    <x v="85"/>
    <n v="0.04"/>
  </r>
  <r>
    <n v="11"/>
    <s v="JPN"/>
    <x v="102"/>
    <x v="102"/>
    <x v="0"/>
    <x v="102"/>
    <n v="125244761"/>
    <n v="127250933"/>
    <n v="128105431"/>
    <n v="126803861"/>
    <n v="123686321"/>
    <n v="117624196"/>
    <n v="105416839"/>
    <n v="377930"/>
    <n v="327.9753"/>
    <x v="86"/>
    <n v="1.55"/>
  </r>
  <r>
    <n v="195"/>
    <s v="JEY"/>
    <x v="103"/>
    <x v="103"/>
    <x v="1"/>
    <x v="103"/>
    <n v="108319"/>
    <n v="100561"/>
    <n v="96151"/>
    <n v="86192"/>
    <n v="82874"/>
    <n v="75124"/>
    <n v="68347"/>
    <n v="116"/>
    <n v="954.9828"/>
    <x v="87"/>
    <n v="0"/>
  </r>
  <r>
    <n v="83"/>
    <s v="JOR"/>
    <x v="104"/>
    <x v="104"/>
    <x v="0"/>
    <x v="104"/>
    <n v="10928721"/>
    <n v="9494246"/>
    <n v="6931258"/>
    <n v="5056174"/>
    <n v="3480587"/>
    <n v="2216903"/>
    <n v="1557374"/>
    <n v="89342"/>
    <n v="126.32210000000001"/>
    <x v="88"/>
    <n v="0.14000000000000001"/>
  </r>
  <r>
    <n v="66"/>
    <s v="KAZ"/>
    <x v="105"/>
    <x v="105"/>
    <x v="0"/>
    <x v="105"/>
    <n v="18979243"/>
    <n v="17835909"/>
    <n v="16627837"/>
    <n v="15236253"/>
    <n v="16866563"/>
    <n v="14172710"/>
    <n v="12265305"/>
    <n v="2724900"/>
    <n v="7.1188000000000002"/>
    <x v="89"/>
    <n v="0.24"/>
  </r>
  <r>
    <n v="27"/>
    <s v="KEN"/>
    <x v="106"/>
    <x v="106"/>
    <x v="2"/>
    <x v="106"/>
    <n v="51985780"/>
    <n v="46851488"/>
    <n v="41517895"/>
    <n v="30851606"/>
    <n v="23162269"/>
    <n v="16187124"/>
    <n v="11473087"/>
    <n v="580367"/>
    <n v="93.091899999999995"/>
    <x v="90"/>
    <n v="0.68"/>
  </r>
  <r>
    <n v="192"/>
    <s v="KIR"/>
    <x v="107"/>
    <x v="107"/>
    <x v="3"/>
    <x v="107"/>
    <n v="126463"/>
    <n v="116707"/>
    <n v="107995"/>
    <n v="88826"/>
    <n v="75124"/>
    <n v="60813"/>
    <n v="57437"/>
    <n v="811"/>
    <n v="161.815"/>
    <x v="91"/>
    <n v="0"/>
  </r>
  <r>
    <n v="129"/>
    <s v="KWT"/>
    <x v="108"/>
    <x v="108"/>
    <x v="0"/>
    <x v="108"/>
    <n v="4360444"/>
    <n v="3908743"/>
    <n v="2943356"/>
    <n v="1934901"/>
    <n v="1674938"/>
    <n v="1493870"/>
    <n v="802786"/>
    <n v="17818"/>
    <n v="239.5821"/>
    <x v="13"/>
    <n v="0.05"/>
  </r>
  <r>
    <n v="110"/>
    <s v="KGZ"/>
    <x v="109"/>
    <x v="109"/>
    <x v="0"/>
    <x v="109"/>
    <n v="6424874"/>
    <n v="5914980"/>
    <n v="5483774"/>
    <n v="4935182"/>
    <n v="4394734"/>
    <n v="3691209"/>
    <n v="3016384"/>
    <n v="199951"/>
    <n v="33.161200000000001"/>
    <x v="52"/>
    <n v="0.08"/>
  </r>
  <r>
    <n v="103"/>
    <s v="LAO"/>
    <x v="110"/>
    <x v="110"/>
    <x v="0"/>
    <x v="110"/>
    <n v="7319399"/>
    <n v="6787419"/>
    <n v="6323418"/>
    <n v="5430853"/>
    <n v="4314443"/>
    <n v="3297519"/>
    <n v="2675283"/>
    <n v="236800"/>
    <n v="31.796800000000001"/>
    <x v="92"/>
    <n v="0.09"/>
  </r>
  <r>
    <n v="151"/>
    <s v="LVA"/>
    <x v="111"/>
    <x v="111"/>
    <x v="1"/>
    <x v="111"/>
    <n v="1897052"/>
    <n v="1991955"/>
    <n v="2101530"/>
    <n v="2392530"/>
    <n v="2689391"/>
    <n v="2572037"/>
    <n v="2397414"/>
    <n v="64559"/>
    <n v="28.666"/>
    <x v="93"/>
    <n v="0.02"/>
  </r>
  <r>
    <n v="119"/>
    <s v="LBN"/>
    <x v="112"/>
    <x v="112"/>
    <x v="0"/>
    <x v="112"/>
    <n v="5662923"/>
    <n v="6398940"/>
    <n v="4995800"/>
    <n v="4320642"/>
    <n v="3593700"/>
    <n v="2963702"/>
    <n v="2381791"/>
    <n v="10452"/>
    <n v="525.23339999999996"/>
    <x v="94"/>
    <n v="7.0000000000000007E-2"/>
  </r>
  <r>
    <n v="147"/>
    <s v="LSO"/>
    <x v="113"/>
    <x v="113"/>
    <x v="2"/>
    <x v="113"/>
    <n v="2254100"/>
    <n v="2118521"/>
    <n v="2022747"/>
    <n v="1998630"/>
    <n v="1798997"/>
    <n v="1407672"/>
    <n v="1023481"/>
    <n v="30355"/>
    <n v="75.962000000000003"/>
    <x v="95"/>
    <n v="0.03"/>
  </r>
  <r>
    <n v="121"/>
    <s v="LBR"/>
    <x v="114"/>
    <x v="114"/>
    <x v="2"/>
    <x v="114"/>
    <n v="5087584"/>
    <n v="4612329"/>
    <n v="4019956"/>
    <n v="2895224"/>
    <n v="2209731"/>
    <n v="1932169"/>
    <n v="1463563"/>
    <n v="111369"/>
    <n v="47.613599999999998"/>
    <x v="96"/>
    <n v="7.0000000000000007E-2"/>
  </r>
  <r>
    <n v="107"/>
    <s v="LBY"/>
    <x v="115"/>
    <x v="115"/>
    <x v="2"/>
    <x v="115"/>
    <n v="6653942"/>
    <n v="6192235"/>
    <n v="6491988"/>
    <n v="5154790"/>
    <n v="4236983"/>
    <n v="2962720"/>
    <n v="1909177"/>
    <n v="1759540"/>
    <n v="3.8717000000000001"/>
    <x v="51"/>
    <n v="0.09"/>
  </r>
  <r>
    <n v="216"/>
    <s v="LIE"/>
    <x v="116"/>
    <x v="116"/>
    <x v="1"/>
    <x v="116"/>
    <n v="38756"/>
    <n v="37355"/>
    <n v="35926"/>
    <n v="33026"/>
    <n v="28765"/>
    <n v="25003"/>
    <n v="21089"/>
    <n v="160"/>
    <n v="245.7937"/>
    <x v="61"/>
    <n v="0"/>
  </r>
  <r>
    <n v="141"/>
    <s v="LTU"/>
    <x v="117"/>
    <x v="117"/>
    <x v="1"/>
    <x v="117"/>
    <n v="2820267"/>
    <n v="2963765"/>
    <n v="3139019"/>
    <n v="3599637"/>
    <n v="3785847"/>
    <n v="3521206"/>
    <n v="3210147"/>
    <n v="65300"/>
    <n v="42.114199999999997"/>
    <x v="97"/>
    <n v="0.03"/>
  </r>
  <r>
    <n v="168"/>
    <s v="LUX"/>
    <x v="118"/>
    <x v="118"/>
    <x v="1"/>
    <x v="118"/>
    <n v="630399"/>
    <n v="569408"/>
    <n v="507070"/>
    <n v="435628"/>
    <n v="381267"/>
    <n v="363741"/>
    <n v="339342"/>
    <n v="2586"/>
    <n v="250.42500000000001"/>
    <x v="98"/>
    <n v="0.01"/>
  </r>
  <r>
    <n v="167"/>
    <s v="MAC"/>
    <x v="119"/>
    <x v="119"/>
    <x v="0"/>
    <x v="119"/>
    <n v="676283"/>
    <n v="615239"/>
    <n v="557297"/>
    <n v="431896"/>
    <n v="350227"/>
    <n v="245332"/>
    <n v="247284"/>
    <n v="30"/>
    <n v="23172.2667"/>
    <x v="99"/>
    <n v="0.01"/>
  </r>
  <r>
    <n v="50"/>
    <s v="MDG"/>
    <x v="120"/>
    <x v="120"/>
    <x v="2"/>
    <x v="120"/>
    <n v="28225177"/>
    <n v="24850912"/>
    <n v="21731053"/>
    <n v="16216431"/>
    <n v="11882762"/>
    <n v="8948162"/>
    <n v="6639751"/>
    <n v="587041"/>
    <n v="50.442300000000003"/>
    <x v="100"/>
    <n v="0.37"/>
  </r>
  <r>
    <n v="62"/>
    <s v="MWI"/>
    <x v="121"/>
    <x v="121"/>
    <x v="2"/>
    <x v="121"/>
    <n v="19377061"/>
    <n v="16938942"/>
    <n v="14718422"/>
    <n v="11229387"/>
    <n v="9539665"/>
    <n v="6267369"/>
    <n v="4625141"/>
    <n v="118484"/>
    <n v="172.22"/>
    <x v="31"/>
    <n v="0.26"/>
  </r>
  <r>
    <n v="45"/>
    <s v="MYS"/>
    <x v="122"/>
    <x v="122"/>
    <x v="0"/>
    <x v="122"/>
    <n v="33199993"/>
    <n v="31068833"/>
    <n v="28717731"/>
    <n v="22945150"/>
    <n v="17517054"/>
    <n v="13215707"/>
    <n v="10306508"/>
    <n v="330803"/>
    <n v="102.5934"/>
    <x v="101"/>
    <n v="0.43"/>
  </r>
  <r>
    <n v="174"/>
    <s v="MDV"/>
    <x v="123"/>
    <x v="123"/>
    <x v="0"/>
    <x v="123"/>
    <n v="514438"/>
    <n v="435582"/>
    <n v="361575"/>
    <n v="282507"/>
    <n v="224957"/>
    <n v="164887"/>
    <n v="123243"/>
    <n v="300"/>
    <n v="1745.9567"/>
    <x v="49"/>
    <n v="0.01"/>
  </r>
  <r>
    <n v="59"/>
    <s v="MLI"/>
    <x v="124"/>
    <x v="124"/>
    <x v="2"/>
    <x v="124"/>
    <n v="21224040"/>
    <n v="18112907"/>
    <n v="15529181"/>
    <n v="11239101"/>
    <n v="8945026"/>
    <n v="7372581"/>
    <n v="6153587"/>
    <n v="1240192"/>
    <n v="18.2178"/>
    <x v="102"/>
    <n v="0.28000000000000003"/>
  </r>
  <r>
    <n v="173"/>
    <s v="MLT"/>
    <x v="125"/>
    <x v="125"/>
    <x v="1"/>
    <x v="125"/>
    <n v="515357"/>
    <n v="456579"/>
    <n v="418755"/>
    <n v="399212"/>
    <n v="365392"/>
    <n v="333587"/>
    <n v="315414"/>
    <n v="316"/>
    <n v="1687.6139000000001"/>
    <x v="103"/>
    <n v="0.01"/>
  </r>
  <r>
    <n v="215"/>
    <s v="MHL"/>
    <x v="126"/>
    <x v="126"/>
    <x v="3"/>
    <x v="126"/>
    <n v="43413"/>
    <n v="49410"/>
    <n v="53416"/>
    <n v="54224"/>
    <n v="46047"/>
    <n v="31988"/>
    <n v="23969"/>
    <n v="181"/>
    <n v="229.66300000000001"/>
    <x v="25"/>
    <n v="0"/>
  </r>
  <r>
    <n v="180"/>
    <s v="MTQ"/>
    <x v="127"/>
    <x v="127"/>
    <x v="4"/>
    <x v="127"/>
    <n v="370391"/>
    <n v="383515"/>
    <n v="392181"/>
    <n v="432543"/>
    <n v="374271"/>
    <n v="333786"/>
    <n v="326428"/>
    <n v="1128"/>
    <n v="325.80410000000001"/>
    <x v="104"/>
    <n v="0"/>
  </r>
  <r>
    <n v="126"/>
    <s v="MRT"/>
    <x v="128"/>
    <x v="128"/>
    <x v="2"/>
    <x v="128"/>
    <n v="4498604"/>
    <n v="3946220"/>
    <n v="3419461"/>
    <n v="2695003"/>
    <n v="2006027"/>
    <n v="1506694"/>
    <n v="1122198"/>
    <n v="1030700"/>
    <n v="4.5951000000000004"/>
    <x v="33"/>
    <n v="0.06"/>
  </r>
  <r>
    <n v="157"/>
    <s v="MUS"/>
    <x v="129"/>
    <x v="129"/>
    <x v="2"/>
    <x v="129"/>
    <n v="1297828"/>
    <n v="1293153"/>
    <n v="1283330"/>
    <n v="1215930"/>
    <n v="1090290"/>
    <n v="954865"/>
    <n v="830115"/>
    <n v="2040"/>
    <n v="636.99459999999999"/>
    <x v="105"/>
    <n v="0.02"/>
  </r>
  <r>
    <n v="182"/>
    <s v="MYT"/>
    <x v="130"/>
    <x v="130"/>
    <x v="2"/>
    <x v="130"/>
    <n v="305587"/>
    <n v="249545"/>
    <n v="211786"/>
    <n v="159215"/>
    <n v="92659"/>
    <n v="52233"/>
    <n v="35383"/>
    <n v="374"/>
    <n v="871.92780000000005"/>
    <x v="106"/>
    <n v="0"/>
  </r>
  <r>
    <n v="10"/>
    <s v="MEX"/>
    <x v="131"/>
    <x v="131"/>
    <x v="4"/>
    <x v="131"/>
    <n v="125998302"/>
    <n v="120149897"/>
    <n v="112532401"/>
    <n v="97873442"/>
    <n v="81720428"/>
    <n v="67705186"/>
    <n v="50289306"/>
    <n v="1964375"/>
    <n v="64.908199999999994"/>
    <x v="107"/>
    <n v="1.6"/>
  </r>
  <r>
    <n v="194"/>
    <s v="FSM"/>
    <x v="132"/>
    <x v="132"/>
    <x v="3"/>
    <x v="132"/>
    <n v="112106"/>
    <n v="109462"/>
    <n v="107588"/>
    <n v="111709"/>
    <n v="98603"/>
    <n v="76299"/>
    <n v="58989"/>
    <n v="702"/>
    <n v="162.6268"/>
    <x v="108"/>
    <n v="0"/>
  </r>
  <r>
    <n v="135"/>
    <s v="MDA"/>
    <x v="133"/>
    <x v="133"/>
    <x v="1"/>
    <x v="133"/>
    <n v="3084847"/>
    <n v="3277388"/>
    <n v="3678186"/>
    <n v="4251573"/>
    <n v="4480199"/>
    <n v="4103240"/>
    <n v="3711140"/>
    <n v="33846"/>
    <n v="96.702600000000004"/>
    <x v="109"/>
    <n v="0.04"/>
  </r>
  <r>
    <n v="217"/>
    <s v="MCO"/>
    <x v="134"/>
    <x v="134"/>
    <x v="1"/>
    <x v="134"/>
    <n v="36922"/>
    <n v="36760"/>
    <n v="33178"/>
    <n v="32465"/>
    <n v="30329"/>
    <n v="27076"/>
    <n v="24270"/>
    <n v="2"/>
    <n v="18234.5"/>
    <x v="110"/>
    <n v="0"/>
  </r>
  <r>
    <n v="134"/>
    <s v="MNG"/>
    <x v="135"/>
    <x v="135"/>
    <x v="0"/>
    <x v="135"/>
    <n v="3294335"/>
    <n v="2964749"/>
    <n v="2702520"/>
    <n v="2450979"/>
    <n v="2161433"/>
    <n v="1697780"/>
    <n v="1293880"/>
    <n v="1564110"/>
    <n v="2.1726999999999999"/>
    <x v="111"/>
    <n v="0.04"/>
  </r>
  <r>
    <n v="169"/>
    <s v="MNE"/>
    <x v="136"/>
    <x v="136"/>
    <x v="1"/>
    <x v="136"/>
    <n v="629048"/>
    <n v="633966"/>
    <n v="631044"/>
    <n v="633324"/>
    <n v="621442"/>
    <n v="589324"/>
    <n v="530268"/>
    <n v="13812"/>
    <n v="45.401200000000003"/>
    <x v="112"/>
    <n v="0.01"/>
  </r>
  <r>
    <n v="230"/>
    <s v="MSR"/>
    <x v="137"/>
    <x v="137"/>
    <x v="4"/>
    <x v="137"/>
    <n v="4500"/>
    <n v="5059"/>
    <n v="4938"/>
    <n v="5138"/>
    <n v="10805"/>
    <n v="11452"/>
    <n v="11402"/>
    <n v="102"/>
    <n v="43.039200000000001"/>
    <x v="113"/>
    <n v="0"/>
  </r>
  <r>
    <n v="40"/>
    <s v="MAR"/>
    <x v="138"/>
    <x v="138"/>
    <x v="2"/>
    <x v="138"/>
    <n v="36688772"/>
    <n v="34680458"/>
    <n v="32464865"/>
    <n v="28554415"/>
    <n v="24570814"/>
    <n v="19678444"/>
    <n v="15274351"/>
    <n v="446550"/>
    <n v="83.882999999999996"/>
    <x v="114"/>
    <n v="0.47"/>
  </r>
  <r>
    <n v="48"/>
    <s v="MOZ"/>
    <x v="139"/>
    <x v="139"/>
    <x v="2"/>
    <x v="139"/>
    <n v="31178239"/>
    <n v="26843246"/>
    <n v="23073723"/>
    <n v="17768505"/>
    <n v="13303459"/>
    <n v="11413587"/>
    <n v="8411676"/>
    <n v="801590"/>
    <n v="41.130200000000002"/>
    <x v="115"/>
    <n v="0.41"/>
  </r>
  <r>
    <n v="26"/>
    <s v="MMR"/>
    <x v="140"/>
    <x v="140"/>
    <x v="0"/>
    <x v="140"/>
    <n v="53423198"/>
    <n v="51483949"/>
    <n v="49390988"/>
    <n v="45538332"/>
    <n v="40099553"/>
    <n v="33465781"/>
    <n v="27284112"/>
    <n v="676578"/>
    <n v="80.078400000000002"/>
    <x v="79"/>
    <n v="0.68"/>
  </r>
  <r>
    <n v="145"/>
    <s v="NAM"/>
    <x v="141"/>
    <x v="141"/>
    <x v="2"/>
    <x v="141"/>
    <n v="2489098"/>
    <n v="2282704"/>
    <n v="2099271"/>
    <n v="1819141"/>
    <n v="1369011"/>
    <n v="975994"/>
    <n v="754467"/>
    <n v="825615"/>
    <n v="3.1092"/>
    <x v="116"/>
    <n v="0.03"/>
  </r>
  <r>
    <n v="225"/>
    <s v="NRU"/>
    <x v="142"/>
    <x v="142"/>
    <x v="3"/>
    <x v="142"/>
    <n v="12315"/>
    <n v="11185"/>
    <n v="10241"/>
    <n v="10377"/>
    <n v="9598"/>
    <n v="7635"/>
    <n v="6663"/>
    <n v="21"/>
    <n v="603.23810000000003"/>
    <x v="99"/>
    <n v="0"/>
  </r>
  <r>
    <n v="49"/>
    <s v="NPL"/>
    <x v="143"/>
    <x v="143"/>
    <x v="0"/>
    <x v="143"/>
    <n v="29348627"/>
    <n v="27610325"/>
    <n v="27161567"/>
    <n v="24559500"/>
    <n v="19616530"/>
    <n v="15600442"/>
    <n v="12501285"/>
    <n v="147181"/>
    <n v="207.55109999999999"/>
    <x v="117"/>
    <n v="0.38"/>
  </r>
  <r>
    <n v="71"/>
    <s v="NLD"/>
    <x v="144"/>
    <x v="144"/>
    <x v="1"/>
    <x v="144"/>
    <n v="17434557"/>
    <n v="17041107"/>
    <n v="16617116"/>
    <n v="15899135"/>
    <n v="14944548"/>
    <n v="14130387"/>
    <n v="13037686"/>
    <n v="41850"/>
    <n v="419.68970000000002"/>
    <x v="118"/>
    <n v="0.22"/>
  </r>
  <r>
    <n v="185"/>
    <s v="NCL"/>
    <x v="145"/>
    <x v="145"/>
    <x v="3"/>
    <x v="145"/>
    <n v="286403"/>
    <n v="283032"/>
    <n v="261426"/>
    <n v="221537"/>
    <n v="177264"/>
    <n v="148599"/>
    <n v="110982"/>
    <n v="18575"/>
    <n v="15.6097"/>
    <x v="119"/>
    <n v="0"/>
  </r>
  <r>
    <n v="123"/>
    <s v="NZL"/>
    <x v="146"/>
    <x v="146"/>
    <x v="3"/>
    <x v="146"/>
    <n v="5061133"/>
    <n v="4590590"/>
    <n v="4346338"/>
    <n v="3855266"/>
    <n v="3397389"/>
    <n v="3147168"/>
    <n v="2824061"/>
    <n v="270467"/>
    <n v="19.171600000000002"/>
    <x v="16"/>
    <n v="7.0000000000000007E-2"/>
  </r>
  <r>
    <n v="106"/>
    <s v="NIC"/>
    <x v="147"/>
    <x v="147"/>
    <x v="4"/>
    <x v="147"/>
    <n v="6755895"/>
    <n v="6298598"/>
    <n v="5855734"/>
    <n v="5123222"/>
    <n v="4227820"/>
    <n v="3303309"/>
    <n v="2444767"/>
    <n v="130373"/>
    <n v="53.296199999999999"/>
    <x v="120"/>
    <n v="0.09"/>
  </r>
  <r>
    <n v="54"/>
    <s v="NER"/>
    <x v="148"/>
    <x v="148"/>
    <x v="2"/>
    <x v="148"/>
    <n v="24333639"/>
    <n v="20128124"/>
    <n v="16647543"/>
    <n v="11622665"/>
    <n v="8370647"/>
    <n v="6173177"/>
    <n v="4669708"/>
    <n v="1267000"/>
    <n v="20.685099999999998"/>
    <x v="121"/>
    <n v="0.33"/>
  </r>
  <r>
    <n v="6"/>
    <s v="NGA"/>
    <x v="149"/>
    <x v="149"/>
    <x v="2"/>
    <x v="149"/>
    <n v="208327405"/>
    <n v="183995785"/>
    <n v="160952853"/>
    <n v="122851984"/>
    <n v="95214257"/>
    <n v="72951439"/>
    <n v="55569264"/>
    <n v="923768"/>
    <n v="236.57589999999999"/>
    <x v="100"/>
    <n v="2.74"/>
  </r>
  <r>
    <n v="232"/>
    <s v="NIU"/>
    <x v="150"/>
    <x v="150"/>
    <x v="3"/>
    <x v="150"/>
    <n v="1942"/>
    <n v="1847"/>
    <n v="1812"/>
    <n v="2074"/>
    <n v="2533"/>
    <n v="3637"/>
    <n v="5185"/>
    <n v="260"/>
    <n v="7.4385000000000003"/>
    <x v="122"/>
    <n v="0"/>
  </r>
  <r>
    <n v="56"/>
    <s v="PRK"/>
    <x v="151"/>
    <x v="151"/>
    <x v="0"/>
    <x v="151"/>
    <n v="25867467"/>
    <n v="25258015"/>
    <n v="24686435"/>
    <n v="23367059"/>
    <n v="20799523"/>
    <n v="17973650"/>
    <n v="14996879"/>
    <n v="120538"/>
    <n v="216.27549999999999"/>
    <x v="19"/>
    <n v="0.33"/>
  </r>
  <r>
    <n v="150"/>
    <s v="MKD"/>
    <x v="152"/>
    <x v="152"/>
    <x v="1"/>
    <x v="152"/>
    <n v="2111072"/>
    <n v="2107962"/>
    <n v="2093828"/>
    <n v="2037936"/>
    <n v="2044174"/>
    <n v="1907023"/>
    <n v="1656783"/>
    <n v="25713"/>
    <n v="81.421800000000005"/>
    <x v="123"/>
    <n v="0.03"/>
  </r>
  <r>
    <n v="210"/>
    <s v="NFK"/>
    <x v="153"/>
    <x v="153"/>
    <x v="3"/>
    <x v="153"/>
    <n v="49587"/>
    <n v="51514"/>
    <n v="54087"/>
    <n v="80338"/>
    <n v="48002"/>
    <n v="17613"/>
    <n v="10143"/>
    <n v="464"/>
    <n v="106.79089999999999"/>
    <x v="124"/>
    <n v="0"/>
  </r>
  <r>
    <n v="120"/>
    <s v="NOR"/>
    <x v="154"/>
    <x v="154"/>
    <x v="1"/>
    <x v="154"/>
    <n v="5379839"/>
    <n v="5190356"/>
    <n v="4889741"/>
    <n v="4491202"/>
    <n v="4241636"/>
    <n v="4085776"/>
    <n v="3875546"/>
    <n v="323802"/>
    <n v="16.782800000000002"/>
    <x v="7"/>
    <n v="7.0000000000000007E-2"/>
  </r>
  <r>
    <n v="127"/>
    <s v="OMN"/>
    <x v="155"/>
    <x v="155"/>
    <x v="0"/>
    <x v="155"/>
    <n v="4543399"/>
    <n v="4191776"/>
    <n v="2881914"/>
    <n v="2344253"/>
    <n v="1804524"/>
    <n v="1017462"/>
    <n v="670693"/>
    <n v="309500"/>
    <n v="14.786099999999999"/>
    <x v="88"/>
    <n v="0.06"/>
  </r>
  <r>
    <n v="5"/>
    <s v="PAK"/>
    <x v="156"/>
    <x v="156"/>
    <x v="0"/>
    <x v="156"/>
    <n v="227196741"/>
    <n v="210969298"/>
    <n v="194454498"/>
    <n v="154369924"/>
    <n v="115414069"/>
    <n v="80624057"/>
    <n v="59290872"/>
    <n v="881912"/>
    <n v="267.40179999999998"/>
    <x v="125"/>
    <n v="2.96"/>
  </r>
  <r>
    <n v="222"/>
    <s v="PLW"/>
    <x v="157"/>
    <x v="157"/>
    <x v="3"/>
    <x v="157"/>
    <n v="17972"/>
    <n v="17794"/>
    <n v="18540"/>
    <n v="19726"/>
    <n v="15293"/>
    <n v="12252"/>
    <n v="11366"/>
    <n v="459"/>
    <n v="39.335500000000003"/>
    <x v="126"/>
    <n v="0"/>
  </r>
  <r>
    <n v="122"/>
    <s v="PSE"/>
    <x v="158"/>
    <x v="158"/>
    <x v="0"/>
    <x v="158"/>
    <n v="5019401"/>
    <n v="4484614"/>
    <n v="3992278"/>
    <n v="3139954"/>
    <n v="2124609"/>
    <n v="1453620"/>
    <n v="1118241"/>
    <n v="6220"/>
    <n v="844.06299999999999"/>
    <x v="127"/>
    <n v="7.0000000000000007E-2"/>
  </r>
  <r>
    <n v="128"/>
    <s v="PAN"/>
    <x v="159"/>
    <x v="159"/>
    <x v="4"/>
    <x v="159"/>
    <n v="4294396"/>
    <n v="3957099"/>
    <n v="3623617"/>
    <n v="3001731"/>
    <n v="2449968"/>
    <n v="1956987"/>
    <n v="1516188"/>
    <n v="75417"/>
    <n v="58.456099999999999"/>
    <x v="128"/>
    <n v="0.06"/>
  </r>
  <r>
    <n v="93"/>
    <s v="PNG"/>
    <x v="160"/>
    <x v="160"/>
    <x v="3"/>
    <x v="160"/>
    <n v="9749640"/>
    <n v="8682174"/>
    <n v="7583269"/>
    <n v="5508297"/>
    <n v="3864972"/>
    <n v="3104788"/>
    <n v="2489059"/>
    <n v="462840"/>
    <n v="21.913900000000002"/>
    <x v="129"/>
    <n v="0.13"/>
  </r>
  <r>
    <n v="109"/>
    <s v="PRY"/>
    <x v="161"/>
    <x v="161"/>
    <x v="5"/>
    <x v="161"/>
    <n v="6618695"/>
    <n v="6177950"/>
    <n v="5768613"/>
    <n v="5123819"/>
    <n v="4059195"/>
    <n v="3078912"/>
    <n v="2408787"/>
    <n v="406752"/>
    <n v="16.670500000000001"/>
    <x v="130"/>
    <n v="0.09"/>
  </r>
  <r>
    <n v="44"/>
    <s v="PER"/>
    <x v="162"/>
    <x v="162"/>
    <x v="5"/>
    <x v="162"/>
    <n v="33304756"/>
    <n v="30711863"/>
    <n v="29229572"/>
    <n v="26654439"/>
    <n v="22109099"/>
    <n v="17492406"/>
    <n v="13562371"/>
    <n v="1285216"/>
    <n v="26.493300000000001"/>
    <x v="11"/>
    <n v="0.43"/>
  </r>
  <r>
    <n v="13"/>
    <s v="PHL"/>
    <x v="163"/>
    <x v="163"/>
    <x v="0"/>
    <x v="163"/>
    <n v="112190977"/>
    <n v="103031365"/>
    <n v="94636700"/>
    <n v="77958223"/>
    <n v="61558898"/>
    <n v="48419546"/>
    <n v="37435586"/>
    <n v="342353"/>
    <n v="337.54340000000002"/>
    <x v="131"/>
    <n v="1.45"/>
  </r>
  <r>
    <n v="37"/>
    <s v="POL"/>
    <x v="164"/>
    <x v="164"/>
    <x v="1"/>
    <x v="164"/>
    <n v="38428366"/>
    <n v="38553146"/>
    <n v="38597353"/>
    <n v="38504431"/>
    <n v="38064255"/>
    <n v="35521429"/>
    <n v="32482943"/>
    <n v="312679"/>
    <n v="127.46980000000001"/>
    <x v="132"/>
    <n v="0.5"/>
  </r>
  <r>
    <n v="92"/>
    <s v="PRT"/>
    <x v="165"/>
    <x v="165"/>
    <x v="1"/>
    <x v="165"/>
    <n v="10298192"/>
    <n v="10365435"/>
    <n v="10588401"/>
    <n v="10300626"/>
    <n v="10007346"/>
    <n v="9785252"/>
    <n v="8683631"/>
    <n v="92090"/>
    <n v="111.5307"/>
    <x v="133"/>
    <n v="0.13"/>
  </r>
  <r>
    <n v="136"/>
    <s v="PRI"/>
    <x v="166"/>
    <x v="166"/>
    <x v="4"/>
    <x v="166"/>
    <n v="3271564"/>
    <n v="3497335"/>
    <n v="3717922"/>
    <n v="3827108"/>
    <n v="3543776"/>
    <n v="3214568"/>
    <n v="2737619"/>
    <n v="8870"/>
    <n v="366.67500000000001"/>
    <x v="134"/>
    <n v="0.04"/>
  </r>
  <r>
    <n v="143"/>
    <s v="QAT"/>
    <x v="167"/>
    <x v="167"/>
    <x v="0"/>
    <x v="167"/>
    <n v="2760385"/>
    <n v="2414573"/>
    <n v="1713504"/>
    <n v="645937"/>
    <n v="441675"/>
    <n v="277450"/>
    <n v="118007"/>
    <n v="11586"/>
    <n v="232.6189"/>
    <x v="135"/>
    <n v="0.03"/>
  </r>
  <r>
    <n v="114"/>
    <s v="COG"/>
    <x v="168"/>
    <x v="168"/>
    <x v="2"/>
    <x v="168"/>
    <n v="5702174"/>
    <n v="5064386"/>
    <n v="4437884"/>
    <n v="3134030"/>
    <n v="2385435"/>
    <n v="1829256"/>
    <n v="1396989"/>
    <n v="342000"/>
    <n v="17.4574"/>
    <x v="136"/>
    <n v="7.0000000000000007E-2"/>
  </r>
  <r>
    <n v="161"/>
    <s v="REU"/>
    <x v="169"/>
    <x v="169"/>
    <x v="2"/>
    <x v="169"/>
    <n v="957822"/>
    <n v="922495"/>
    <n v="890130"/>
    <n v="785424"/>
    <n v="658992"/>
    <n v="551674"/>
    <n v="473925"/>
    <n v="2511"/>
    <n v="387.91399999999999"/>
    <x v="137"/>
    <n v="0.01"/>
  </r>
  <r>
    <n v="64"/>
    <s v="ROU"/>
    <x v="170"/>
    <x v="170"/>
    <x v="1"/>
    <x v="170"/>
    <n v="19442038"/>
    <n v="19906079"/>
    <n v="20335211"/>
    <n v="21919876"/>
    <n v="22836234"/>
    <n v="22125224"/>
    <n v="19922618"/>
    <n v="238391"/>
    <n v="82.466499999999996"/>
    <x v="117"/>
    <n v="0.25"/>
  </r>
  <r>
    <n v="9"/>
    <s v="RUS"/>
    <x v="171"/>
    <x v="171"/>
    <x v="1"/>
    <x v="171"/>
    <n v="145617329"/>
    <n v="144668389"/>
    <n v="143242599"/>
    <n v="146844839"/>
    <n v="148005704"/>
    <n v="138257420"/>
    <n v="130093010"/>
    <n v="17098242"/>
    <n v="8.4635999999999996"/>
    <x v="138"/>
    <n v="1.81"/>
  </r>
  <r>
    <n v="76"/>
    <s v="RWA"/>
    <x v="172"/>
    <x v="172"/>
    <x v="2"/>
    <x v="172"/>
    <n v="13146362"/>
    <n v="11642959"/>
    <n v="10309031"/>
    <n v="8109989"/>
    <n v="7319962"/>
    <n v="5247532"/>
    <n v="3896367"/>
    <n v="26338"/>
    <n v="523.07309999999995"/>
    <x v="139"/>
    <n v="0.17"/>
  </r>
  <r>
    <n v="228"/>
    <s v="BLM"/>
    <x v="173"/>
    <x v="173"/>
    <x v="4"/>
    <x v="173"/>
    <n v="10681"/>
    <n v="9643"/>
    <n v="8988"/>
    <n v="7082"/>
    <n v="5168"/>
    <n v="2983"/>
    <n v="2417"/>
    <n v="21"/>
    <n v="522.23810000000003"/>
    <x v="140"/>
    <n v="0"/>
  </r>
  <r>
    <n v="211"/>
    <s v="KNA"/>
    <x v="174"/>
    <x v="174"/>
    <x v="4"/>
    <x v="174"/>
    <n v="47642"/>
    <n v="47790"/>
    <n v="47403"/>
    <n v="45461"/>
    <n v="40636"/>
    <n v="43097"/>
    <n v="44968"/>
    <n v="261"/>
    <n v="182.59389999999999"/>
    <x v="141"/>
    <n v="0"/>
  </r>
  <r>
    <n v="190"/>
    <s v="LCA"/>
    <x v="175"/>
    <x v="175"/>
    <x v="4"/>
    <x v="175"/>
    <n v="179237"/>
    <n v="175623"/>
    <n v="170935"/>
    <n v="159500"/>
    <n v="142301"/>
    <n v="121633"/>
    <n v="103090"/>
    <n v="616"/>
    <n v="291.97559999999999"/>
    <x v="141"/>
    <n v="0"/>
  </r>
  <r>
    <n v="220"/>
    <s v="MAF"/>
    <x v="176"/>
    <x v="176"/>
    <x v="4"/>
    <x v="176"/>
    <n v="32552"/>
    <n v="35020"/>
    <n v="36458"/>
    <n v="29610"/>
    <n v="28127"/>
    <n v="7776"/>
    <n v="5802"/>
    <n v="53"/>
    <n v="599.83019999999999"/>
    <x v="142"/>
    <n v="0"/>
  </r>
  <r>
    <n v="229"/>
    <s v="SPM"/>
    <x v="177"/>
    <x v="177"/>
    <x v="4"/>
    <x v="177"/>
    <n v="5906"/>
    <n v="5978"/>
    <n v="6052"/>
    <n v="6274"/>
    <n v="6324"/>
    <n v="6106"/>
    <n v="5537"/>
    <n v="242"/>
    <n v="24.223099999999999"/>
    <x v="64"/>
    <n v="0"/>
  </r>
  <r>
    <n v="199"/>
    <s v="VCT"/>
    <x v="178"/>
    <x v="178"/>
    <x v="4"/>
    <x v="178"/>
    <n v="104632"/>
    <n v="106482"/>
    <n v="109308"/>
    <n v="113813"/>
    <n v="112487"/>
    <n v="107480"/>
    <n v="98459"/>
    <n v="389"/>
    <n v="267.21850000000001"/>
    <x v="143"/>
    <n v="0"/>
  </r>
  <r>
    <n v="188"/>
    <s v="WSM"/>
    <x v="179"/>
    <x v="179"/>
    <x v="3"/>
    <x v="179"/>
    <n v="214929"/>
    <n v="203571"/>
    <n v="194672"/>
    <n v="184008"/>
    <n v="168186"/>
    <n v="164905"/>
    <n v="142771"/>
    <n v="2842"/>
    <n v="78.248400000000004"/>
    <x v="144"/>
    <n v="0"/>
  </r>
  <r>
    <n v="218"/>
    <s v="SMR"/>
    <x v="180"/>
    <x v="180"/>
    <x v="1"/>
    <x v="180"/>
    <n v="34007"/>
    <n v="33570"/>
    <n v="31608"/>
    <n v="26823"/>
    <n v="23132"/>
    <n v="21346"/>
    <n v="18169"/>
    <n v="61"/>
    <n v="551.80330000000004"/>
    <x v="145"/>
    <n v="0"/>
  </r>
  <r>
    <n v="187"/>
    <s v="STP"/>
    <x v="181"/>
    <x v="181"/>
    <x v="2"/>
    <x v="181"/>
    <n v="218641"/>
    <n v="201124"/>
    <n v="182138"/>
    <n v="143714"/>
    <n v="120343"/>
    <n v="97210"/>
    <n v="77583"/>
    <n v="964"/>
    <n v="235.87139999999999"/>
    <x v="146"/>
    <n v="0"/>
  </r>
  <r>
    <n v="41"/>
    <s v="SAU"/>
    <x v="182"/>
    <x v="182"/>
    <x v="0"/>
    <x v="182"/>
    <n v="35997107"/>
    <n v="32749848"/>
    <n v="29411929"/>
    <n v="21547390"/>
    <n v="16004763"/>
    <n v="10171710"/>
    <n v="6106191"/>
    <n v="2149690"/>
    <n v="16.936800000000002"/>
    <x v="147"/>
    <n v="0.46"/>
  </r>
  <r>
    <n v="72"/>
    <s v="SEN"/>
    <x v="183"/>
    <x v="183"/>
    <x v="2"/>
    <x v="183"/>
    <n v="16436119"/>
    <n v="14356181"/>
    <n v="12530121"/>
    <n v="9704287"/>
    <n v="7536001"/>
    <n v="5703869"/>
    <n v="4367744"/>
    <n v="196722"/>
    <n v="88.025000000000006"/>
    <x v="148"/>
    <n v="0.22"/>
  </r>
  <r>
    <n v="105"/>
    <s v="SRB"/>
    <x v="184"/>
    <x v="184"/>
    <x v="1"/>
    <x v="184"/>
    <n v="7358005"/>
    <n v="7519496"/>
    <n v="7653748"/>
    <n v="7935022"/>
    <n v="7987529"/>
    <n v="7777010"/>
    <n v="7193533"/>
    <n v="88361"/>
    <n v="81.725700000000003"/>
    <x v="149"/>
    <n v="0.09"/>
  </r>
  <r>
    <n v="196"/>
    <s v="SYC"/>
    <x v="185"/>
    <x v="185"/>
    <x v="2"/>
    <x v="185"/>
    <n v="105530"/>
    <n v="99240"/>
    <n v="92409"/>
    <n v="80060"/>
    <n v="71057"/>
    <n v="65290"/>
    <n v="54379"/>
    <n v="452"/>
    <n v="236.98670000000001"/>
    <x v="15"/>
    <n v="0"/>
  </r>
  <r>
    <n v="102"/>
    <s v="SLE"/>
    <x v="186"/>
    <x v="186"/>
    <x v="2"/>
    <x v="186"/>
    <n v="8233969"/>
    <n v="7314773"/>
    <n v="6436698"/>
    <n v="4584067"/>
    <n v="4325388"/>
    <n v="3367477"/>
    <n v="2778557"/>
    <n v="71740"/>
    <n v="119.95699999999999"/>
    <x v="150"/>
    <n v="0.11"/>
  </r>
  <r>
    <n v="113"/>
    <s v="SGP"/>
    <x v="187"/>
    <x v="187"/>
    <x v="0"/>
    <x v="187"/>
    <n v="5909869"/>
    <n v="5650018"/>
    <n v="5163590"/>
    <n v="4053602"/>
    <n v="3022209"/>
    <n v="2400729"/>
    <n v="2061831"/>
    <n v="710"/>
    <n v="8416.4634000000005"/>
    <x v="7"/>
    <n v="7.0000000000000007E-2"/>
  </r>
  <r>
    <n v="214"/>
    <s v="SXM"/>
    <x v="188"/>
    <x v="188"/>
    <x v="4"/>
    <x v="188"/>
    <n v="43621"/>
    <n v="40205"/>
    <n v="33034"/>
    <n v="30489"/>
    <n v="27845"/>
    <n v="12243"/>
    <n v="6260"/>
    <n v="34"/>
    <n v="1299.2646999999999"/>
    <x v="81"/>
    <n v="0"/>
  </r>
  <r>
    <n v="116"/>
    <s v="SVK"/>
    <x v="189"/>
    <x v="189"/>
    <x v="1"/>
    <x v="189"/>
    <n v="5456681"/>
    <n v="5424444"/>
    <n v="5396424"/>
    <n v="5376690"/>
    <n v="5261305"/>
    <n v="4973883"/>
    <n v="4522867"/>
    <n v="49037"/>
    <n v="115.0856"/>
    <x v="151"/>
    <n v="7.0000000000000007E-2"/>
  </r>
  <r>
    <n v="148"/>
    <s v="SVN"/>
    <x v="190"/>
    <x v="190"/>
    <x v="1"/>
    <x v="190"/>
    <n v="2117641"/>
    <n v="2080862"/>
    <n v="2057286"/>
    <n v="1984339"/>
    <n v="1986024"/>
    <n v="1901570"/>
    <n v="1741286"/>
    <n v="20273"/>
    <n v="104.56489999999999"/>
    <x v="152"/>
    <n v="0.03"/>
  </r>
  <r>
    <n v="166"/>
    <s v="SLB"/>
    <x v="191"/>
    <x v="191"/>
    <x v="3"/>
    <x v="191"/>
    <n v="691191"/>
    <n v="612660"/>
    <n v="540394"/>
    <n v="429978"/>
    <n v="324171"/>
    <n v="233668"/>
    <n v="172833"/>
    <n v="28896"/>
    <n v="25.064800000000002"/>
    <x v="153"/>
    <n v="0.01"/>
  </r>
  <r>
    <n v="70"/>
    <s v="SOM"/>
    <x v="192"/>
    <x v="192"/>
    <x v="2"/>
    <x v="192"/>
    <n v="16537016"/>
    <n v="13763906"/>
    <n v="12026649"/>
    <n v="8721465"/>
    <n v="6999096"/>
    <n v="5892224"/>
    <n v="3720977"/>
    <n v="637657"/>
    <n v="27.597100000000001"/>
    <x v="154"/>
    <n v="0.22"/>
  </r>
  <r>
    <n v="24"/>
    <s v="ZAF"/>
    <x v="193"/>
    <x v="193"/>
    <x v="2"/>
    <x v="193"/>
    <n v="58801927"/>
    <n v="55876504"/>
    <n v="51784921"/>
    <n v="46813266"/>
    <n v="39877570"/>
    <n v="29463549"/>
    <n v="22368306"/>
    <n v="1221037"/>
    <n v="49.051699999999997"/>
    <x v="36"/>
    <n v="0.75"/>
  </r>
  <r>
    <n v="29"/>
    <s v="KOR"/>
    <x v="194"/>
    <x v="194"/>
    <x v="0"/>
    <x v="194"/>
    <n v="51844690"/>
    <n v="50994401"/>
    <n v="48813042"/>
    <n v="46788591"/>
    <n v="44120039"/>
    <n v="38170501"/>
    <n v="32601143"/>
    <n v="100210"/>
    <n v="517.07219999999995"/>
    <x v="155"/>
    <n v="0.65"/>
  </r>
  <r>
    <n v="86"/>
    <s v="SSD"/>
    <x v="195"/>
    <x v="195"/>
    <x v="2"/>
    <x v="195"/>
    <n v="10606227"/>
    <n v="11194299"/>
    <n v="9714419"/>
    <n v="6114440"/>
    <n v="4750817"/>
    <n v="4192011"/>
    <n v="3342410"/>
    <n v="619745"/>
    <n v="17.609100000000002"/>
    <x v="156"/>
    <n v="0.14000000000000001"/>
  </r>
  <r>
    <n v="30"/>
    <s v="ESP"/>
    <x v="196"/>
    <x v="196"/>
    <x v="1"/>
    <x v="196"/>
    <n v="47363807"/>
    <n v="46431342"/>
    <n v="46572772"/>
    <n v="40741651"/>
    <n v="38889889"/>
    <n v="37491666"/>
    <n v="33792617"/>
    <n v="505992"/>
    <n v="93.990899999999996"/>
    <x v="17"/>
    <n v="0.6"/>
  </r>
  <r>
    <n v="61"/>
    <s v="LKA"/>
    <x v="197"/>
    <x v="197"/>
    <x v="0"/>
    <x v="197"/>
    <n v="21715079"/>
    <n v="21336697"/>
    <n v="20668557"/>
    <n v="18776371"/>
    <n v="17204094"/>
    <n v="14943645"/>
    <n v="12388769"/>
    <n v="65610"/>
    <n v="332.75630000000001"/>
    <x v="157"/>
    <n v="0.27"/>
  </r>
  <r>
    <n v="32"/>
    <s v="SDN"/>
    <x v="198"/>
    <x v="198"/>
    <x v="2"/>
    <x v="198"/>
    <n v="44440486"/>
    <n v="38171178"/>
    <n v="33739933"/>
    <n v="26298773"/>
    <n v="21090886"/>
    <n v="16673586"/>
    <n v="11305206"/>
    <n v="1886068"/>
    <n v="24.852900000000002"/>
    <x v="158"/>
    <n v="0.59"/>
  </r>
  <r>
    <n v="170"/>
    <s v="SUR"/>
    <x v="199"/>
    <x v="199"/>
    <x v="5"/>
    <x v="199"/>
    <n v="607065"/>
    <n v="575475"/>
    <n v="546080"/>
    <n v="478998"/>
    <n v="412756"/>
    <n v="375112"/>
    <n v="379918"/>
    <n v="163820"/>
    <n v="3.7726999999999999"/>
    <x v="137"/>
    <n v="0.01"/>
  </r>
  <r>
    <n v="87"/>
    <s v="SWE"/>
    <x v="200"/>
    <x v="200"/>
    <x v="1"/>
    <x v="200"/>
    <n v="10368969"/>
    <n v="9849349"/>
    <n v="9381729"/>
    <n v="8871043"/>
    <n v="8548406"/>
    <n v="8311763"/>
    <n v="8027702"/>
    <n v="450295"/>
    <n v="23.427600000000002"/>
    <x v="57"/>
    <n v="0.13"/>
  </r>
  <r>
    <n v="101"/>
    <s v="CHE"/>
    <x v="201"/>
    <x v="201"/>
    <x v="1"/>
    <x v="201"/>
    <n v="8638613"/>
    <n v="8281732"/>
    <n v="7822435"/>
    <n v="7182059"/>
    <n v="6711693"/>
    <n v="6319113"/>
    <n v="6181227"/>
    <n v="41284"/>
    <n v="211.7157"/>
    <x v="58"/>
    <n v="0.11"/>
  </r>
  <r>
    <n v="60"/>
    <s v="SYR"/>
    <x v="202"/>
    <x v="202"/>
    <x v="0"/>
    <x v="202"/>
    <n v="20772595"/>
    <n v="19205178"/>
    <n v="22337563"/>
    <n v="16307654"/>
    <n v="12408996"/>
    <n v="8898954"/>
    <n v="6319199"/>
    <n v="185180"/>
    <n v="119.47969999999999"/>
    <x v="159"/>
    <n v="0.28000000000000003"/>
  </r>
  <r>
    <n v="57"/>
    <s v="TWN"/>
    <x v="203"/>
    <x v="203"/>
    <x v="0"/>
    <x v="203"/>
    <n v="23821464"/>
    <n v="23512136"/>
    <n v="23083083"/>
    <n v="22194731"/>
    <n v="20586174"/>
    <n v="18100281"/>
    <n v="14957870"/>
    <n v="36193"/>
    <n v="660.1662"/>
    <x v="124"/>
    <n v="0.3"/>
  </r>
  <r>
    <n v="95"/>
    <s v="TJK"/>
    <x v="204"/>
    <x v="204"/>
    <x v="0"/>
    <x v="204"/>
    <n v="9543207"/>
    <n v="8524063"/>
    <n v="7621779"/>
    <n v="6272998"/>
    <n v="5417860"/>
    <n v="4045965"/>
    <n v="2993019"/>
    <n v="143100"/>
    <n v="69.551299999999998"/>
    <x v="160"/>
    <n v="0.12"/>
  </r>
  <r>
    <n v="22"/>
    <s v="TZA"/>
    <x v="205"/>
    <x v="205"/>
    <x v="2"/>
    <x v="205"/>
    <n v="61704518"/>
    <n v="52542823"/>
    <n v="45110527"/>
    <n v="34463704"/>
    <n v="26206012"/>
    <n v="19297659"/>
    <n v="13618192"/>
    <n v="945087"/>
    <n v="69.303399999999996"/>
    <x v="161"/>
    <n v="0.82"/>
  </r>
  <r>
    <n v="20"/>
    <s v="THA"/>
    <x v="206"/>
    <x v="206"/>
    <x v="0"/>
    <x v="206"/>
    <n v="71475664"/>
    <n v="70294397"/>
    <n v="68270489"/>
    <n v="63066603"/>
    <n v="55228410"/>
    <n v="45737753"/>
    <n v="35791728"/>
    <n v="513120"/>
    <n v="139.7276"/>
    <x v="162"/>
    <n v="0.9"/>
  </r>
  <r>
    <n v="155"/>
    <s v="TLS"/>
    <x v="207"/>
    <x v="207"/>
    <x v="0"/>
    <x v="207"/>
    <n v="1299995"/>
    <n v="1205813"/>
    <n v="1088486"/>
    <n v="878360"/>
    <n v="758106"/>
    <n v="642224"/>
    <n v="554021"/>
    <n v="14874"/>
    <n v="90.177199999999999"/>
    <x v="163"/>
    <n v="0.02"/>
  </r>
  <r>
    <n v="100"/>
    <s v="TGO"/>
    <x v="208"/>
    <x v="208"/>
    <x v="2"/>
    <x v="208"/>
    <n v="8442580"/>
    <n v="7473229"/>
    <n v="6571855"/>
    <n v="5008035"/>
    <n v="3875947"/>
    <n v="2838110"/>
    <n v="2197383"/>
    <n v="56785"/>
    <n v="155.82810000000001"/>
    <x v="164"/>
    <n v="0.11"/>
  </r>
  <r>
    <n v="233"/>
    <s v="TKL"/>
    <x v="209"/>
    <x v="209"/>
    <x v="3"/>
    <x v="209"/>
    <n v="1827"/>
    <n v="1454"/>
    <n v="1367"/>
    <n v="1666"/>
    <n v="1669"/>
    <n v="1647"/>
    <n v="1714"/>
    <n v="12"/>
    <n v="155.91669999999999"/>
    <x v="165"/>
    <n v="0"/>
  </r>
  <r>
    <n v="197"/>
    <s v="TON"/>
    <x v="210"/>
    <x v="210"/>
    <x v="3"/>
    <x v="210"/>
    <n v="105254"/>
    <n v="106122"/>
    <n v="107383"/>
    <n v="102603"/>
    <n v="98727"/>
    <n v="96708"/>
    <n v="86484"/>
    <n v="747"/>
    <n v="143.04949999999999"/>
    <x v="57"/>
    <n v="0"/>
  </r>
  <r>
    <n v="153"/>
    <s v="TTO"/>
    <x v="211"/>
    <x v="211"/>
    <x v="4"/>
    <x v="211"/>
    <n v="1518147"/>
    <n v="1460177"/>
    <n v="1410296"/>
    <n v="1332203"/>
    <n v="1266518"/>
    <n v="1127852"/>
    <n v="988890"/>
    <n v="5130"/>
    <n v="298.44909999999999"/>
    <x v="53"/>
    <n v="0.02"/>
  </r>
  <r>
    <n v="79"/>
    <s v="TUN"/>
    <x v="212"/>
    <x v="212"/>
    <x v="2"/>
    <x v="212"/>
    <n v="12161723"/>
    <n v="11557779"/>
    <n v="10895063"/>
    <n v="9893316"/>
    <n v="8440023"/>
    <n v="6578156"/>
    <n v="5047404"/>
    <n v="163610"/>
    <n v="75.521799999999999"/>
    <x v="166"/>
    <n v="0.15"/>
  </r>
  <r>
    <n v="18"/>
    <s v="TUR"/>
    <x v="213"/>
    <x v="213"/>
    <x v="0"/>
    <x v="213"/>
    <n v="84135428"/>
    <n v="79646178"/>
    <n v="73195345"/>
    <n v="64113547"/>
    <n v="54324142"/>
    <n v="44089069"/>
    <n v="35540990"/>
    <n v="783562"/>
    <n v="108.9145"/>
    <x v="167"/>
    <n v="1.07"/>
  </r>
  <r>
    <n v="111"/>
    <s v="TKM"/>
    <x v="214"/>
    <x v="214"/>
    <x v="0"/>
    <x v="214"/>
    <n v="6250438"/>
    <n v="5766431"/>
    <n v="5267970"/>
    <n v="4569132"/>
    <n v="3720278"/>
    <n v="2862903"/>
    <n v="2201432"/>
    <n v="488100"/>
    <n v="13.1751"/>
    <x v="168"/>
    <n v="0.08"/>
  </r>
  <r>
    <n v="212"/>
    <s v="TCA"/>
    <x v="215"/>
    <x v="215"/>
    <x v="4"/>
    <x v="215"/>
    <n v="44276"/>
    <n v="36538"/>
    <n v="29726"/>
    <n v="18744"/>
    <n v="11709"/>
    <n v="7598"/>
    <n v="5665"/>
    <n v="948"/>
    <n v="48.209899999999998"/>
    <x v="20"/>
    <n v="0"/>
  </r>
  <r>
    <n v="227"/>
    <s v="TUV"/>
    <x v="216"/>
    <x v="216"/>
    <x v="3"/>
    <x v="216"/>
    <n v="11069"/>
    <n v="10877"/>
    <n v="10550"/>
    <n v="9638"/>
    <n v="9182"/>
    <n v="7731"/>
    <n v="5814"/>
    <n v="26"/>
    <n v="435.07690000000002"/>
    <x v="169"/>
    <n v="0"/>
  </r>
  <r>
    <n v="31"/>
    <s v="UGA"/>
    <x v="217"/>
    <x v="217"/>
    <x v="2"/>
    <x v="217"/>
    <n v="44404611"/>
    <n v="37477356"/>
    <n v="32341728"/>
    <n v="24020697"/>
    <n v="17586630"/>
    <n v="13284026"/>
    <n v="10317212"/>
    <n v="241550"/>
    <n v="195.61"/>
    <x v="170"/>
    <n v="0.59"/>
  </r>
  <r>
    <n v="38"/>
    <s v="UKR"/>
    <x v="218"/>
    <x v="218"/>
    <x v="1"/>
    <x v="218"/>
    <n v="43909666"/>
    <n v="44982564"/>
    <n v="45683020"/>
    <n v="48879755"/>
    <n v="51589817"/>
    <n v="49973920"/>
    <n v="47279086"/>
    <n v="603500"/>
    <n v="65.785799999999995"/>
    <x v="171"/>
    <n v="0.5"/>
  </r>
  <r>
    <n v="97"/>
    <s v="ARE"/>
    <x v="219"/>
    <x v="219"/>
    <x v="0"/>
    <x v="219"/>
    <n v="9287289"/>
    <n v="8916899"/>
    <n v="8481771"/>
    <n v="3275333"/>
    <n v="1900151"/>
    <n v="1014048"/>
    <n v="298084"/>
    <n v="83600"/>
    <n v="112.93219999999999"/>
    <x v="29"/>
    <n v="0.12"/>
  </r>
  <r>
    <n v="21"/>
    <s v="GBR"/>
    <x v="220"/>
    <x v="220"/>
    <x v="1"/>
    <x v="220"/>
    <n v="67059474"/>
    <n v="65224364"/>
    <n v="62760039"/>
    <n v="58850043"/>
    <n v="57210442"/>
    <n v="56326328"/>
    <n v="55650166"/>
    <n v="242900"/>
    <n v="277.9289"/>
    <x v="172"/>
    <n v="0.85"/>
  </r>
  <r>
    <n v="3"/>
    <s v="USA"/>
    <x v="221"/>
    <x v="221"/>
    <x v="4"/>
    <x v="221"/>
    <n v="335942003"/>
    <n v="324607776"/>
    <n v="311182845"/>
    <n v="282398554"/>
    <n v="248083732"/>
    <n v="223140018"/>
    <n v="200328340"/>
    <n v="9372610"/>
    <n v="36.093499999999999"/>
    <x v="19"/>
    <n v="4.24"/>
  </r>
  <r>
    <n v="200"/>
    <s v="VIR"/>
    <x v="222"/>
    <x v="222"/>
    <x v="4"/>
    <x v="222"/>
    <n v="100442"/>
    <n v="102803"/>
    <n v="106142"/>
    <n v="108185"/>
    <n v="100685"/>
    <n v="96640"/>
    <n v="63446"/>
    <n v="347"/>
    <n v="286.64269999999999"/>
    <x v="173"/>
    <n v="0"/>
  </r>
  <r>
    <n v="133"/>
    <s v="URY"/>
    <x v="223"/>
    <x v="223"/>
    <x v="5"/>
    <x v="223"/>
    <n v="3429086"/>
    <n v="3402818"/>
    <n v="3352651"/>
    <n v="3292224"/>
    <n v="3117012"/>
    <n v="2953750"/>
    <n v="2790265"/>
    <n v="181034"/>
    <n v="18.9069"/>
    <x v="174"/>
    <n v="0.04"/>
  </r>
  <r>
    <n v="43"/>
    <s v="UZB"/>
    <x v="224"/>
    <x v="224"/>
    <x v="0"/>
    <x v="224"/>
    <n v="33526656"/>
    <n v="30949417"/>
    <n v="28614227"/>
    <n v="24925554"/>
    <n v="20579100"/>
    <n v="15947129"/>
    <n v="12011361"/>
    <n v="447400"/>
    <n v="77.397499999999994"/>
    <x v="175"/>
    <n v="0.43"/>
  </r>
  <r>
    <n v="181"/>
    <s v="VUT"/>
    <x v="225"/>
    <x v="225"/>
    <x v="3"/>
    <x v="225"/>
    <n v="311685"/>
    <n v="276438"/>
    <n v="245453"/>
    <n v="192074"/>
    <n v="150882"/>
    <n v="118156"/>
    <n v="87019"/>
    <n v="12189"/>
    <n v="26.806100000000001"/>
    <x v="176"/>
    <n v="0"/>
  </r>
  <r>
    <n v="234"/>
    <s v="VAT"/>
    <x v="226"/>
    <x v="226"/>
    <x v="1"/>
    <x v="226"/>
    <n v="520"/>
    <n v="564"/>
    <n v="596"/>
    <n v="651"/>
    <n v="700"/>
    <n v="733"/>
    <n v="752"/>
    <n v="1"/>
    <n v="510"/>
    <x v="56"/>
    <n v="0"/>
  </r>
  <r>
    <n v="51"/>
    <s v="VEN"/>
    <x v="227"/>
    <x v="227"/>
    <x v="5"/>
    <x v="227"/>
    <n v="28490453"/>
    <n v="30529716"/>
    <n v="28715022"/>
    <n v="24427729"/>
    <n v="19750579"/>
    <n v="15210443"/>
    <n v="11355475"/>
    <n v="916445"/>
    <n v="30.882000000000001"/>
    <x v="118"/>
    <n v="0.35"/>
  </r>
  <r>
    <n v="16"/>
    <s v="VNM"/>
    <x v="228"/>
    <x v="228"/>
    <x v="0"/>
    <x v="228"/>
    <n v="96648685"/>
    <n v="92191398"/>
    <n v="87411012"/>
    <n v="79001142"/>
    <n v="66912613"/>
    <n v="52968270"/>
    <n v="41928849"/>
    <n v="331212"/>
    <n v="296.44720000000001"/>
    <x v="61"/>
    <n v="1.23"/>
  </r>
  <r>
    <n v="226"/>
    <s v="WLF"/>
    <x v="229"/>
    <x v="229"/>
    <x v="3"/>
    <x v="229"/>
    <n v="11655"/>
    <n v="12182"/>
    <n v="13142"/>
    <n v="14723"/>
    <n v="13454"/>
    <n v="11315"/>
    <n v="9377"/>
    <n v="142"/>
    <n v="81.492999999999995"/>
    <x v="177"/>
    <n v="0"/>
  </r>
  <r>
    <n v="172"/>
    <s v="ESH"/>
    <x v="230"/>
    <x v="230"/>
    <x v="2"/>
    <x v="230"/>
    <n v="556048"/>
    <n v="491824"/>
    <n v="413296"/>
    <n v="270375"/>
    <n v="178529"/>
    <n v="116775"/>
    <n v="76371"/>
    <n v="266000"/>
    <n v="2.1654"/>
    <x v="41"/>
    <n v="0.01"/>
  </r>
  <r>
    <n v="46"/>
    <s v="YEM"/>
    <x v="231"/>
    <x v="231"/>
    <x v="0"/>
    <x v="231"/>
    <n v="32284046"/>
    <n v="28516545"/>
    <n v="24743946"/>
    <n v="18628700"/>
    <n v="13375121"/>
    <n v="9204938"/>
    <n v="6843607"/>
    <n v="527968"/>
    <n v="63.8232"/>
    <x v="178"/>
    <n v="0.42"/>
  </r>
  <r>
    <n v="63"/>
    <s v="ZMB"/>
    <x v="232"/>
    <x v="232"/>
    <x v="2"/>
    <x v="232"/>
    <n v="18927715"/>
    <n v="16248230"/>
    <n v="13792086"/>
    <n v="9891136"/>
    <n v="7686401"/>
    <n v="5720438"/>
    <n v="4281671"/>
    <n v="752612"/>
    <n v="26.5976"/>
    <x v="179"/>
    <n v="0.25"/>
  </r>
  <r>
    <n v="74"/>
    <s v="ZWE"/>
    <x v="233"/>
    <x v="233"/>
    <x v="2"/>
    <x v="233"/>
    <n v="15669666"/>
    <n v="14154937"/>
    <n v="12839771"/>
    <n v="11834676"/>
    <n v="10113893"/>
    <n v="7049926"/>
    <n v="5202918"/>
    <n v="390757"/>
    <n v="41.766500000000001"/>
    <x v="62"/>
    <n v="0.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A048EEB7-814A-4DCC-B11D-067EC07552AD}" name="PivotTable2"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4">
  <location ref="B2:J7" firstHeaderRow="0" firstDataRow="1" firstDataCol="1"/>
  <pivotFields count="17">
    <pivotField showAll="0"/>
    <pivotField showAll="0"/>
    <pivotField axis="axisRow" showAll="0">
      <items count="23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t="default"/>
      </items>
    </pivotField>
    <pivotField showAll="0"/>
    <pivotField axis="axisRow" showAll="0">
      <items count="7">
        <item sd="0" x="2"/>
        <item sd="0" x="0"/>
        <item sd="0" x="1"/>
        <item sd="0" x="4"/>
        <item h="1" sd="0" x="3"/>
        <item h="1" sd="0" x="5"/>
        <item t="default"/>
      </items>
    </pivotField>
    <pivotField dataField="1" numFmtId="164" showAll="0">
      <items count="235">
        <item x="226"/>
        <item x="209"/>
        <item x="150"/>
        <item x="64"/>
        <item x="137"/>
        <item x="177"/>
        <item x="173"/>
        <item x="216"/>
        <item x="229"/>
        <item x="142"/>
        <item x="6"/>
        <item x="44"/>
        <item x="157"/>
        <item x="28"/>
        <item x="176"/>
        <item x="76"/>
        <item x="180"/>
        <item x="134"/>
        <item x="116"/>
        <item x="126"/>
        <item x="188"/>
        <item x="3"/>
        <item x="215"/>
        <item x="174"/>
        <item x="153"/>
        <item x="65"/>
        <item x="78"/>
        <item x="83"/>
        <item x="22"/>
        <item x="37"/>
        <item x="53"/>
        <item x="4"/>
        <item x="97"/>
        <item x="7"/>
        <item x="222"/>
        <item x="178"/>
        <item x="10"/>
        <item x="210"/>
        <item x="185"/>
        <item x="103"/>
        <item x="132"/>
        <item x="79"/>
        <item x="107"/>
        <item x="81"/>
        <item x="175"/>
        <item x="48"/>
        <item x="179"/>
        <item x="181"/>
        <item x="17"/>
        <item x="145"/>
        <item x="69"/>
        <item x="70"/>
        <item x="130"/>
        <item x="225"/>
        <item x="127"/>
        <item x="91"/>
        <item x="80"/>
        <item x="20"/>
        <item x="14"/>
        <item x="29"/>
        <item x="123"/>
        <item x="125"/>
        <item x="230"/>
        <item x="36"/>
        <item x="199"/>
        <item x="136"/>
        <item x="118"/>
        <item x="119"/>
        <item x="191"/>
        <item x="23"/>
        <item x="86"/>
        <item x="43"/>
        <item x="66"/>
        <item x="169"/>
        <item x="52"/>
        <item x="62"/>
        <item x="49"/>
        <item x="129"/>
        <item x="61"/>
        <item x="207"/>
        <item x="15"/>
        <item x="211"/>
        <item x="59"/>
        <item x="111"/>
        <item x="152"/>
        <item x="85"/>
        <item x="190"/>
        <item x="113"/>
        <item x="71"/>
        <item x="141"/>
        <item x="26"/>
        <item x="167"/>
        <item x="72"/>
        <item x="117"/>
        <item x="9"/>
        <item x="101"/>
        <item x="1"/>
        <item x="25"/>
        <item x="166"/>
        <item x="133"/>
        <item x="135"/>
        <item x="223"/>
        <item x="60"/>
        <item x="73"/>
        <item x="46"/>
        <item x="108"/>
        <item x="159"/>
        <item x="155"/>
        <item x="128"/>
        <item x="96"/>
        <item x="45"/>
        <item x="146"/>
        <item x="158"/>
        <item x="114"/>
        <item x="154"/>
        <item x="112"/>
        <item x="67"/>
        <item x="38"/>
        <item x="189"/>
        <item x="51"/>
        <item x="168"/>
        <item x="187"/>
        <item x="58"/>
        <item x="214"/>
        <item x="109"/>
        <item x="161"/>
        <item x="30"/>
        <item x="115"/>
        <item x="147"/>
        <item x="184"/>
        <item x="89"/>
        <item x="110"/>
        <item x="186"/>
        <item x="201"/>
        <item x="208"/>
        <item x="12"/>
        <item x="98"/>
        <item x="219"/>
        <item x="18"/>
        <item x="204"/>
        <item x="90"/>
        <item x="160"/>
        <item x="165"/>
        <item x="13"/>
        <item x="77"/>
        <item x="88"/>
        <item x="50"/>
        <item x="200"/>
        <item x="195"/>
        <item x="47"/>
        <item x="54"/>
        <item x="104"/>
        <item x="87"/>
        <item x="19"/>
        <item x="24"/>
        <item x="212"/>
        <item x="32"/>
        <item x="21"/>
        <item x="172"/>
        <item x="84"/>
        <item x="233"/>
        <item x="33"/>
        <item x="183"/>
        <item x="144"/>
        <item x="192"/>
        <item x="39"/>
        <item x="82"/>
        <item x="56"/>
        <item x="105"/>
        <item x="40"/>
        <item x="170"/>
        <item x="232"/>
        <item x="121"/>
        <item x="197"/>
        <item x="202"/>
        <item x="124"/>
        <item x="31"/>
        <item x="203"/>
        <item x="151"/>
        <item x="11"/>
        <item x="148"/>
        <item x="34"/>
        <item x="100"/>
        <item x="227"/>
        <item x="120"/>
        <item x="143"/>
        <item x="139"/>
        <item x="75"/>
        <item x="231"/>
        <item x="122"/>
        <item x="162"/>
        <item x="224"/>
        <item x="5"/>
        <item x="182"/>
        <item x="138"/>
        <item x="35"/>
        <item x="218"/>
        <item x="164"/>
        <item x="0"/>
        <item x="95"/>
        <item x="2"/>
        <item x="8"/>
        <item x="198"/>
        <item x="217"/>
        <item x="196"/>
        <item x="194"/>
        <item x="42"/>
        <item x="106"/>
        <item x="140"/>
        <item x="99"/>
        <item x="193"/>
        <item x="68"/>
        <item x="205"/>
        <item x="220"/>
        <item x="206"/>
        <item x="74"/>
        <item x="213"/>
        <item x="94"/>
        <item x="228"/>
        <item x="55"/>
        <item x="57"/>
        <item x="163"/>
        <item x="63"/>
        <item x="102"/>
        <item x="131"/>
        <item x="171"/>
        <item x="16"/>
        <item x="27"/>
        <item x="149"/>
        <item x="156"/>
        <item x="93"/>
        <item x="221"/>
        <item x="92"/>
        <item x="41"/>
        <item t="default"/>
      </items>
    </pivotField>
    <pivotField dataField="1" numFmtId="164" showAll="0"/>
    <pivotField dataField="1" numFmtId="164" showAll="0"/>
    <pivotField dataField="1" numFmtId="164" showAll="0"/>
    <pivotField dataField="1" numFmtId="164" showAll="0"/>
    <pivotField dataField="1" numFmtId="164" showAll="0"/>
    <pivotField dataField="1" numFmtId="164" showAll="0"/>
    <pivotField dataField="1" numFmtId="164" showAll="0"/>
    <pivotField numFmtId="165" showAll="0"/>
    <pivotField numFmtId="43" showAll="0"/>
    <pivotField numFmtId="43" showAll="0"/>
    <pivotField showAll="0"/>
  </pivotFields>
  <rowFields count="2">
    <field x="4"/>
    <field x="2"/>
  </rowFields>
  <rowItems count="5">
    <i>
      <x/>
    </i>
    <i>
      <x v="1"/>
    </i>
    <i>
      <x v="2"/>
    </i>
    <i>
      <x v="3"/>
    </i>
    <i t="grand">
      <x/>
    </i>
  </rowItems>
  <colFields count="1">
    <field x="-2"/>
  </colFields>
  <colItems count="8">
    <i>
      <x/>
    </i>
    <i i="1">
      <x v="1"/>
    </i>
    <i i="2">
      <x v="2"/>
    </i>
    <i i="3">
      <x v="3"/>
    </i>
    <i i="4">
      <x v="4"/>
    </i>
    <i i="5">
      <x v="5"/>
    </i>
    <i i="6">
      <x v="6"/>
    </i>
    <i i="7">
      <x v="7"/>
    </i>
  </colItems>
  <dataFields count="8">
    <dataField name="Sum of 2022 Population" fld="5" baseField="0" baseItem="0" numFmtId="166"/>
    <dataField name="Sum of 2020 Population" fld="6" baseField="0" baseItem="0" numFmtId="166"/>
    <dataField name="Sum of 2015 Population" fld="7" baseField="0" baseItem="0" numFmtId="166"/>
    <dataField name="Sum of 2010 Population" fld="8" baseField="0" baseItem="0" numFmtId="166"/>
    <dataField name="Sum of 2000 Population" fld="9" baseField="0" baseItem="0" numFmtId="166"/>
    <dataField name="Sum of 1990 Population" fld="10" baseField="0" baseItem="0" numFmtId="166"/>
    <dataField name="Sum of 1980 Population" fld="11" baseField="0" baseItem="0" numFmtId="166"/>
    <dataField name="Sum of 1970 Population" fld="12" baseField="0" baseItem="0" numFmtId="166"/>
  </dataFields>
  <formats count="31">
    <format dxfId="30">
      <pivotArea collapsedLevelsAreSubtotals="1" fieldPosition="0">
        <references count="2">
          <reference field="4294967294" count="1" selected="0">
            <x v="0"/>
          </reference>
          <reference field="4" count="1">
            <x v="0"/>
          </reference>
        </references>
      </pivotArea>
    </format>
    <format dxfId="29">
      <pivotArea collapsedLevelsAreSubtotals="1" fieldPosition="0">
        <references count="2">
          <reference field="4294967294" count="5" selected="0">
            <x v="0"/>
            <x v="1"/>
            <x v="2"/>
            <x v="3"/>
            <x v="4"/>
          </reference>
          <reference field="4" count="1">
            <x v="1"/>
          </reference>
        </references>
      </pivotArea>
    </format>
    <format dxfId="28">
      <pivotArea collapsedLevelsAreSubtotals="1" fieldPosition="0">
        <references count="2">
          <reference field="4294967294" count="5" selected="0">
            <x v="0"/>
            <x v="1"/>
            <x v="2"/>
            <x v="3"/>
            <x v="4"/>
          </reference>
          <reference field="4" count="1">
            <x v="2"/>
          </reference>
        </references>
      </pivotArea>
    </format>
    <format dxfId="27">
      <pivotArea collapsedLevelsAreSubtotals="1" fieldPosition="0">
        <references count="2">
          <reference field="4294967294" count="5" selected="0">
            <x v="0"/>
            <x v="1"/>
            <x v="2"/>
            <x v="3"/>
            <x v="4"/>
          </reference>
          <reference field="4" count="1">
            <x v="3"/>
          </reference>
        </references>
      </pivotArea>
    </format>
    <format dxfId="26">
      <pivotArea collapsedLevelsAreSubtotals="1" fieldPosition="0">
        <references count="2">
          <reference field="4294967294" count="5" selected="0">
            <x v="0"/>
            <x v="1"/>
            <x v="2"/>
            <x v="3"/>
            <x v="4"/>
          </reference>
          <reference field="4" count="1">
            <x v="4"/>
          </reference>
        </references>
      </pivotArea>
    </format>
    <format dxfId="25">
      <pivotArea collapsedLevelsAreSubtotals="1" fieldPosition="0">
        <references count="2">
          <reference field="4294967294" count="5" selected="0">
            <x v="0"/>
            <x v="1"/>
            <x v="2"/>
            <x v="3"/>
            <x v="4"/>
          </reference>
          <reference field="4" count="1">
            <x v="5"/>
          </reference>
        </references>
      </pivotArea>
    </format>
    <format dxfId="24">
      <pivotArea field="4" grandRow="1" outline="0" collapsedLevelsAreSubtotals="1" axis="axisRow" fieldPosition="0">
        <references count="1">
          <reference field="4294967294" count="5" selected="0">
            <x v="0"/>
            <x v="1"/>
            <x v="2"/>
            <x v="3"/>
            <x v="4"/>
          </reference>
        </references>
      </pivotArea>
    </format>
    <format dxfId="23">
      <pivotArea outline="0" collapsedLevelsAreSubtotals="1" fieldPosition="0">
        <references count="1">
          <reference field="4294967294" count="1" selected="0">
            <x v="0"/>
          </reference>
        </references>
      </pivotArea>
    </format>
    <format dxfId="22">
      <pivotArea dataOnly="0" labelOnly="1" outline="0" fieldPosition="0">
        <references count="1">
          <reference field="4294967294" count="1">
            <x v="0"/>
          </reference>
        </references>
      </pivotArea>
    </format>
    <format dxfId="21">
      <pivotArea outline="0" collapsedLevelsAreSubtotals="1" fieldPosition="0">
        <references count="1">
          <reference field="4294967294" count="1" selected="0">
            <x v="0"/>
          </reference>
        </references>
      </pivotArea>
    </format>
    <format dxfId="20">
      <pivotArea dataOnly="0" labelOnly="1" outline="0" fieldPosition="0">
        <references count="1">
          <reference field="4294967294" count="1">
            <x v="0"/>
          </reference>
        </references>
      </pivotArea>
    </format>
    <format dxfId="19">
      <pivotArea outline="0" collapsedLevelsAreSubtotals="1" fieldPosition="0">
        <references count="1">
          <reference field="4294967294" count="7" selected="0">
            <x v="1"/>
            <x v="2"/>
            <x v="3"/>
            <x v="4"/>
            <x v="5"/>
            <x v="6"/>
            <x v="7"/>
          </reference>
        </references>
      </pivotArea>
    </format>
    <format dxfId="18">
      <pivotArea dataOnly="0" labelOnly="1" outline="0" fieldPosition="0">
        <references count="1">
          <reference field="4294967294" count="7">
            <x v="1"/>
            <x v="2"/>
            <x v="3"/>
            <x v="4"/>
            <x v="5"/>
            <x v="6"/>
            <x v="7"/>
          </reference>
        </references>
      </pivotArea>
    </format>
    <format dxfId="17">
      <pivotArea type="all" dataOnly="0" outline="0" fieldPosition="0"/>
    </format>
    <format dxfId="16">
      <pivotArea outline="0" collapsedLevelsAreSubtotals="1" fieldPosition="0"/>
    </format>
    <format dxfId="15">
      <pivotArea field="4" type="button" dataOnly="0" labelOnly="1" outline="0" axis="axisRow" fieldPosition="0"/>
    </format>
    <format dxfId="14">
      <pivotArea dataOnly="0" labelOnly="1" fieldPosition="0">
        <references count="1">
          <reference field="4" count="0"/>
        </references>
      </pivotArea>
    </format>
    <format dxfId="13">
      <pivotArea dataOnly="0" labelOnly="1" grandRow="1" outline="0" fieldPosition="0"/>
    </format>
    <format dxfId="12">
      <pivotArea dataOnly="0" labelOnly="1" outline="0" fieldPosition="0">
        <references count="1">
          <reference field="4294967294" count="8">
            <x v="0"/>
            <x v="1"/>
            <x v="2"/>
            <x v="3"/>
            <x v="4"/>
            <x v="5"/>
            <x v="6"/>
            <x v="7"/>
          </reference>
        </references>
      </pivotArea>
    </format>
    <format dxfId="11">
      <pivotArea type="all" dataOnly="0" outline="0" fieldPosition="0"/>
    </format>
    <format dxfId="10">
      <pivotArea outline="0" collapsedLevelsAreSubtotals="1" fieldPosition="0"/>
    </format>
    <format dxfId="9">
      <pivotArea field="4" type="button" dataOnly="0" labelOnly="1" outline="0" axis="axisRow" fieldPosition="0"/>
    </format>
    <format dxfId="8">
      <pivotArea dataOnly="0" labelOnly="1" fieldPosition="0">
        <references count="1">
          <reference field="4" count="0"/>
        </references>
      </pivotArea>
    </format>
    <format dxfId="7">
      <pivotArea dataOnly="0" labelOnly="1" grandRow="1" outline="0" fieldPosition="0"/>
    </format>
    <format dxfId="6">
      <pivotArea dataOnly="0" labelOnly="1" outline="0" fieldPosition="0">
        <references count="1">
          <reference field="4294967294" count="8">
            <x v="0"/>
            <x v="1"/>
            <x v="2"/>
            <x v="3"/>
            <x v="4"/>
            <x v="5"/>
            <x v="6"/>
            <x v="7"/>
          </reference>
        </references>
      </pivotArea>
    </format>
    <format dxfId="5">
      <pivotArea type="all" dataOnly="0" outline="0" fieldPosition="0"/>
    </format>
    <format dxfId="4">
      <pivotArea outline="0" collapsedLevelsAreSubtotals="1" fieldPosition="0"/>
    </format>
    <format dxfId="3">
      <pivotArea field="4" type="button" dataOnly="0" labelOnly="1" outline="0" axis="axisRow" fieldPosition="0"/>
    </format>
    <format dxfId="2">
      <pivotArea dataOnly="0" labelOnly="1" fieldPosition="0">
        <references count="1">
          <reference field="4" count="0"/>
        </references>
      </pivotArea>
    </format>
    <format dxfId="1">
      <pivotArea dataOnly="0" labelOnly="1" grandRow="1" outline="0" fieldPosition="0"/>
    </format>
    <format dxfId="0">
      <pivotArea dataOnly="0" labelOnly="1" outline="0" fieldPosition="0">
        <references count="1">
          <reference field="4294967294" count="8">
            <x v="0"/>
            <x v="1"/>
            <x v="2"/>
            <x v="3"/>
            <x v="4"/>
            <x v="5"/>
            <x v="6"/>
            <x v="7"/>
          </reference>
        </references>
      </pivotArea>
    </format>
  </formats>
  <chartFormats count="25">
    <chartFormat chart="9" format="16" series="1">
      <pivotArea type="data" outline="0" fieldPosition="0">
        <references count="1">
          <reference field="4294967294" count="1" selected="0">
            <x v="0"/>
          </reference>
        </references>
      </pivotArea>
    </chartFormat>
    <chartFormat chart="9" format="17" series="1">
      <pivotArea type="data" outline="0" fieldPosition="0">
        <references count="1">
          <reference field="4294967294" count="1" selected="0">
            <x v="1"/>
          </reference>
        </references>
      </pivotArea>
    </chartFormat>
    <chartFormat chart="9" format="18" series="1">
      <pivotArea type="data" outline="0" fieldPosition="0">
        <references count="1">
          <reference field="4294967294" count="1" selected="0">
            <x v="2"/>
          </reference>
        </references>
      </pivotArea>
    </chartFormat>
    <chartFormat chart="9" format="19" series="1">
      <pivotArea type="data" outline="0" fieldPosition="0">
        <references count="1">
          <reference field="4294967294" count="1" selected="0">
            <x v="3"/>
          </reference>
        </references>
      </pivotArea>
    </chartFormat>
    <chartFormat chart="9" format="20" series="1">
      <pivotArea type="data" outline="0" fieldPosition="0">
        <references count="1">
          <reference field="4294967294" count="1" selected="0">
            <x v="4"/>
          </reference>
        </references>
      </pivotArea>
    </chartFormat>
    <chartFormat chart="9" format="21" series="1">
      <pivotArea type="data" outline="0" fieldPosition="0">
        <references count="1">
          <reference field="4294967294" count="1" selected="0">
            <x v="5"/>
          </reference>
        </references>
      </pivotArea>
    </chartFormat>
    <chartFormat chart="9" format="22" series="1">
      <pivotArea type="data" outline="0" fieldPosition="0">
        <references count="1">
          <reference field="4294967294" count="1" selected="0">
            <x v="6"/>
          </reference>
        </references>
      </pivotArea>
    </chartFormat>
    <chartFormat chart="9" format="23" series="1">
      <pivotArea type="data" outline="0" fieldPosition="0">
        <references count="1">
          <reference field="4294967294" count="1" selected="0">
            <x v="7"/>
          </reference>
        </references>
      </pivotArea>
    </chartFormat>
    <chartFormat chart="9" format="24">
      <pivotArea type="data" outline="0" fieldPosition="0">
        <references count="2">
          <reference field="4294967294" count="1" selected="0">
            <x v="1"/>
          </reference>
          <reference field="4" count="1" selected="0">
            <x v="4"/>
          </reference>
        </references>
      </pivotArea>
    </chartFormat>
    <chartFormat chart="9" format="25">
      <pivotArea type="data" outline="0" fieldPosition="0">
        <references count="2">
          <reference field="4294967294" count="1" selected="0">
            <x v="1"/>
          </reference>
          <reference field="4" count="1" selected="0">
            <x v="1"/>
          </reference>
        </references>
      </pivotArea>
    </chartFormat>
    <chartFormat chart="9" format="26">
      <pivotArea type="data" outline="0" fieldPosition="0">
        <references count="2">
          <reference field="4294967294" count="1" selected="0">
            <x v="5"/>
          </reference>
          <reference field="4" count="1" selected="0">
            <x v="0"/>
          </reference>
        </references>
      </pivotArea>
    </chartFormat>
    <chartFormat chart="9" format="27">
      <pivotArea type="data" outline="0" fieldPosition="0">
        <references count="2">
          <reference field="4294967294" count="1" selected="0">
            <x v="5"/>
          </reference>
          <reference field="4" count="1" selected="0">
            <x v="1"/>
          </reference>
        </references>
      </pivotArea>
    </chartFormat>
    <chartFormat chart="9" format="28">
      <pivotArea type="data" outline="0" fieldPosition="0">
        <references count="2">
          <reference field="4294967294" count="1" selected="0">
            <x v="5"/>
          </reference>
          <reference field="4" count="1" selected="0">
            <x v="2"/>
          </reference>
        </references>
      </pivotArea>
    </chartFormat>
    <chartFormat chart="9" format="29">
      <pivotArea type="data" outline="0" fieldPosition="0">
        <references count="2">
          <reference field="4294967294" count="1" selected="0">
            <x v="5"/>
          </reference>
          <reference field="4" count="1" selected="0">
            <x v="3"/>
          </reference>
        </references>
      </pivotArea>
    </chartFormat>
    <chartFormat chart="9" format="30">
      <pivotArea type="data" outline="0" fieldPosition="0">
        <references count="2">
          <reference field="4294967294" count="1" selected="0">
            <x v="5"/>
          </reference>
          <reference field="4" count="1" selected="0">
            <x v="4"/>
          </reference>
        </references>
      </pivotArea>
    </chartFormat>
    <chartFormat chart="9" format="21" series="1">
      <pivotArea type="data" outline="0" fieldPosition="0">
        <references count="1">
          <reference field="4294967294" count="1" selected="0">
            <x v="0"/>
          </reference>
        </references>
      </pivotArea>
    </chartFormat>
    <chartFormat chart="9" format="22">
      <pivotArea type="data" outline="0" fieldPosition="0">
        <references count="2">
          <reference field="4294967294" count="1" selected="0">
            <x v="0"/>
          </reference>
          <reference field="4" count="1" selected="0">
            <x v="0"/>
          </reference>
        </references>
      </pivotArea>
    </chartFormat>
    <chartFormat chart="9" format="23">
      <pivotArea type="data" outline="0" fieldPosition="0">
        <references count="2">
          <reference field="4294967294" count="1" selected="0">
            <x v="0"/>
          </reference>
          <reference field="4" count="1" selected="0">
            <x v="1"/>
          </reference>
        </references>
      </pivotArea>
    </chartFormat>
    <chartFormat chart="9" format="24">
      <pivotArea type="data" outline="0" fieldPosition="0">
        <references count="2">
          <reference field="4294967294" count="1" selected="0">
            <x v="0"/>
          </reference>
          <reference field="4" count="1" selected="0">
            <x v="2"/>
          </reference>
        </references>
      </pivotArea>
    </chartFormat>
    <chartFormat chart="9" format="25">
      <pivotArea type="data" outline="0" fieldPosition="0">
        <references count="2">
          <reference field="4294967294" count="1" selected="0">
            <x v="0"/>
          </reference>
          <reference field="4" count="1" selected="0">
            <x v="3"/>
          </reference>
        </references>
      </pivotArea>
    </chartFormat>
    <chartFormat chart="9" format="26">
      <pivotArea type="data" outline="0" fieldPosition="0">
        <references count="2">
          <reference field="4294967294" count="1" selected="0">
            <x v="0"/>
          </reference>
          <reference field="4" count="1" selected="0">
            <x v="4"/>
          </reference>
        </references>
      </pivotArea>
    </chartFormat>
    <chartFormat chart="9" format="27">
      <pivotArea type="data" outline="0" fieldPosition="0">
        <references count="2">
          <reference field="4294967294" count="1" selected="0">
            <x v="0"/>
          </reference>
          <reference field="4" count="1" selected="0">
            <x v="5"/>
          </reference>
        </references>
      </pivotArea>
    </chartFormat>
    <chartFormat chart="9" format="28" series="1">
      <pivotArea type="data" outline="0" fieldPosition="0">
        <references count="1">
          <reference field="4294967294" count="1" selected="0">
            <x v="1"/>
          </reference>
        </references>
      </pivotArea>
    </chartFormat>
    <chartFormat chart="9" format="29" series="1">
      <pivotArea type="data" outline="0" fieldPosition="0">
        <references count="1">
          <reference field="4294967294" count="1" selected="0">
            <x v="2"/>
          </reference>
        </references>
      </pivotArea>
    </chartFormat>
    <chartFormat chart="9" format="30" series="1">
      <pivotArea type="data" outline="0" fieldPosition="0">
        <references count="1">
          <reference field="4294967294"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E72984F5-5D10-4C6C-9814-24A182381AC8}" name="PivotTable4"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8">
  <location ref="O3:Q8" firstHeaderRow="0" firstDataRow="1" firstDataCol="1"/>
  <pivotFields count="17">
    <pivotField showAll="0"/>
    <pivotField showAll="0"/>
    <pivotField axis="axisRow" showAll="0">
      <items count="23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t="default"/>
      </items>
    </pivotField>
    <pivotField showAll="0"/>
    <pivotField axis="axisRow" showAll="0">
      <items count="7">
        <item sd="0" x="2"/>
        <item sd="0" x="0"/>
        <item sd="0" x="1"/>
        <item sd="0" x="4"/>
        <item h="1" sd="0" x="3"/>
        <item h="1" sd="0" x="5"/>
        <item t="default"/>
      </items>
    </pivotField>
    <pivotField numFmtId="164" showAll="0"/>
    <pivotField numFmtId="164" showAll="0"/>
    <pivotField numFmtId="164" showAll="0"/>
    <pivotField numFmtId="164" showAll="0"/>
    <pivotField numFmtId="164" showAll="0"/>
    <pivotField numFmtId="164" showAll="0"/>
    <pivotField numFmtId="164" showAll="0"/>
    <pivotField numFmtId="164" showAll="0"/>
    <pivotField dataField="1" numFmtId="165" showAll="0"/>
    <pivotField dataField="1" numFmtId="43" showAll="0"/>
    <pivotField numFmtId="43" showAll="0"/>
    <pivotField showAll="0"/>
  </pivotFields>
  <rowFields count="2">
    <field x="4"/>
    <field x="2"/>
  </rowFields>
  <rowItems count="5">
    <i>
      <x/>
    </i>
    <i>
      <x v="1"/>
    </i>
    <i>
      <x v="2"/>
    </i>
    <i>
      <x v="3"/>
    </i>
    <i t="grand">
      <x/>
    </i>
  </rowItems>
  <colFields count="1">
    <field x="-2"/>
  </colFields>
  <colItems count="2">
    <i>
      <x/>
    </i>
    <i i="1">
      <x v="1"/>
    </i>
  </colItems>
  <dataFields count="2">
    <dataField name="Sum of Density (per kmÂ²)" fld="14" baseField="0" baseItem="0" numFmtId="165"/>
    <dataField name="Sum of Area (kmÂ²)" fld="13" baseField="0" baseItem="0" numFmtId="165"/>
  </dataFields>
  <formats count="21">
    <format dxfId="51">
      <pivotArea outline="0" collapsedLevelsAreSubtotals="1" fieldPosition="0">
        <references count="1">
          <reference field="4294967294" count="1" selected="0">
            <x v="0"/>
          </reference>
        </references>
      </pivotArea>
    </format>
    <format dxfId="50">
      <pivotArea dataOnly="0" labelOnly="1" outline="0" fieldPosition="0">
        <references count="1">
          <reference field="4294967294" count="1">
            <x v="0"/>
          </reference>
        </references>
      </pivotArea>
    </format>
    <format dxfId="49">
      <pivotArea outline="0" collapsedLevelsAreSubtotals="1" fieldPosition="0">
        <references count="1">
          <reference field="4294967294" count="1" selected="0">
            <x v="1"/>
          </reference>
        </references>
      </pivotArea>
    </format>
    <format dxfId="48">
      <pivotArea type="all" dataOnly="0" outline="0" fieldPosition="0"/>
    </format>
    <format dxfId="47">
      <pivotArea outline="0" collapsedLevelsAreSubtotals="1" fieldPosition="0"/>
    </format>
    <format dxfId="46">
      <pivotArea field="4" type="button" dataOnly="0" labelOnly="1" outline="0" axis="axisRow" fieldPosition="0"/>
    </format>
    <format dxfId="45">
      <pivotArea dataOnly="0" labelOnly="1" fieldPosition="0">
        <references count="1">
          <reference field="4" count="0"/>
        </references>
      </pivotArea>
    </format>
    <format dxfId="44">
      <pivotArea dataOnly="0" labelOnly="1" grandRow="1" outline="0" fieldPosition="0"/>
    </format>
    <format dxfId="43">
      <pivotArea dataOnly="0" labelOnly="1" outline="0" fieldPosition="0">
        <references count="1">
          <reference field="4294967294" count="2">
            <x v="0"/>
            <x v="1"/>
          </reference>
        </references>
      </pivotArea>
    </format>
    <format dxfId="42">
      <pivotArea type="all" dataOnly="0" outline="0" fieldPosition="0"/>
    </format>
    <format dxfId="41">
      <pivotArea outline="0" collapsedLevelsAreSubtotals="1" fieldPosition="0"/>
    </format>
    <format dxfId="40">
      <pivotArea field="4" type="button" dataOnly="0" labelOnly="1" outline="0" axis="axisRow" fieldPosition="0"/>
    </format>
    <format dxfId="39">
      <pivotArea dataOnly="0" labelOnly="1" fieldPosition="0">
        <references count="1">
          <reference field="4" count="0"/>
        </references>
      </pivotArea>
    </format>
    <format dxfId="38">
      <pivotArea dataOnly="0" labelOnly="1" grandRow="1" outline="0" fieldPosition="0"/>
    </format>
    <format dxfId="37">
      <pivotArea dataOnly="0" labelOnly="1" outline="0" fieldPosition="0">
        <references count="1">
          <reference field="4294967294" count="2">
            <x v="0"/>
            <x v="1"/>
          </reference>
        </references>
      </pivotArea>
    </format>
    <format dxfId="36">
      <pivotArea type="all" dataOnly="0" outline="0" fieldPosition="0"/>
    </format>
    <format dxfId="35">
      <pivotArea outline="0" collapsedLevelsAreSubtotals="1" fieldPosition="0"/>
    </format>
    <format dxfId="34">
      <pivotArea field="4" type="button" dataOnly="0" labelOnly="1" outline="0" axis="axisRow" fieldPosition="0"/>
    </format>
    <format dxfId="33">
      <pivotArea dataOnly="0" labelOnly="1" fieldPosition="0">
        <references count="1">
          <reference field="4" count="0"/>
        </references>
      </pivotArea>
    </format>
    <format dxfId="32">
      <pivotArea dataOnly="0" labelOnly="1" grandRow="1" outline="0" fieldPosition="0"/>
    </format>
    <format dxfId="31">
      <pivotArea dataOnly="0" labelOnly="1" outline="0" fieldPosition="0">
        <references count="1">
          <reference field="4294967294" count="2">
            <x v="0"/>
            <x v="1"/>
          </reference>
        </references>
      </pivotArea>
    </format>
  </formats>
  <chartFormats count="30">
    <chartFormat chart="0" format="0" series="1">
      <pivotArea type="data" outline="0" fieldPosition="0">
        <references count="1">
          <reference field="4294967294" count="1" selected="0">
            <x v="1"/>
          </reference>
        </references>
      </pivotArea>
    </chartFormat>
    <chartFormat chart="0" format="1" series="1">
      <pivotArea type="data" outline="0" fieldPosition="0">
        <references count="1">
          <reference field="4294967294" count="1" selected="0">
            <x v="0"/>
          </reference>
        </references>
      </pivotArea>
    </chartFormat>
    <chartFormat chart="9" format="16" series="1">
      <pivotArea type="data" outline="0" fieldPosition="0">
        <references count="1">
          <reference field="4294967294" count="1" selected="0">
            <x v="0"/>
          </reference>
        </references>
      </pivotArea>
    </chartFormat>
    <chartFormat chart="9" format="17">
      <pivotArea type="data" outline="0" fieldPosition="0">
        <references count="2">
          <reference field="4294967294" count="1" selected="0">
            <x v="0"/>
          </reference>
          <reference field="4" count="1" selected="0">
            <x v="0"/>
          </reference>
        </references>
      </pivotArea>
    </chartFormat>
    <chartFormat chart="9" format="18">
      <pivotArea type="data" outline="0" fieldPosition="0">
        <references count="2">
          <reference field="4294967294" count="1" selected="0">
            <x v="0"/>
          </reference>
          <reference field="4" count="1" selected="0">
            <x v="1"/>
          </reference>
        </references>
      </pivotArea>
    </chartFormat>
    <chartFormat chart="9" format="19">
      <pivotArea type="data" outline="0" fieldPosition="0">
        <references count="2">
          <reference field="4294967294" count="1" selected="0">
            <x v="0"/>
          </reference>
          <reference field="4" count="1" selected="0">
            <x v="2"/>
          </reference>
        </references>
      </pivotArea>
    </chartFormat>
    <chartFormat chart="9" format="20">
      <pivotArea type="data" outline="0" fieldPosition="0">
        <references count="2">
          <reference field="4294967294" count="1" selected="0">
            <x v="0"/>
          </reference>
          <reference field="4" count="1" selected="0">
            <x v="3"/>
          </reference>
        </references>
      </pivotArea>
    </chartFormat>
    <chartFormat chart="9" format="21">
      <pivotArea type="data" outline="0" fieldPosition="0">
        <references count="2">
          <reference field="4294967294" count="1" selected="0">
            <x v="0"/>
          </reference>
          <reference field="4" count="1" selected="0">
            <x v="4"/>
          </reference>
        </references>
      </pivotArea>
    </chartFormat>
    <chartFormat chart="9" format="22">
      <pivotArea type="data" outline="0" fieldPosition="0">
        <references count="2">
          <reference field="4294967294" count="1" selected="0">
            <x v="0"/>
          </reference>
          <reference field="4" count="1" selected="0">
            <x v="5"/>
          </reference>
        </references>
      </pivotArea>
    </chartFormat>
    <chartFormat chart="9" format="23" series="1">
      <pivotArea type="data" outline="0" fieldPosition="0">
        <references count="1">
          <reference field="4294967294" count="1" selected="0">
            <x v="1"/>
          </reference>
        </references>
      </pivotArea>
    </chartFormat>
    <chartFormat chart="9" format="24">
      <pivotArea type="data" outline="0" fieldPosition="0">
        <references count="2">
          <reference field="4294967294" count="1" selected="0">
            <x v="1"/>
          </reference>
          <reference field="4" count="1" selected="0">
            <x v="0"/>
          </reference>
        </references>
      </pivotArea>
    </chartFormat>
    <chartFormat chart="9" format="25">
      <pivotArea type="data" outline="0" fieldPosition="0">
        <references count="2">
          <reference field="4294967294" count="1" selected="0">
            <x v="1"/>
          </reference>
          <reference field="4" count="1" selected="0">
            <x v="1"/>
          </reference>
        </references>
      </pivotArea>
    </chartFormat>
    <chartFormat chart="9" format="26">
      <pivotArea type="data" outline="0" fieldPosition="0">
        <references count="2">
          <reference field="4294967294" count="1" selected="0">
            <x v="1"/>
          </reference>
          <reference field="4" count="1" selected="0">
            <x v="2"/>
          </reference>
        </references>
      </pivotArea>
    </chartFormat>
    <chartFormat chart="9" format="27">
      <pivotArea type="data" outline="0" fieldPosition="0">
        <references count="2">
          <reference field="4294967294" count="1" selected="0">
            <x v="1"/>
          </reference>
          <reference field="4" count="1" selected="0">
            <x v="3"/>
          </reference>
        </references>
      </pivotArea>
    </chartFormat>
    <chartFormat chart="9" format="28">
      <pivotArea type="data" outline="0" fieldPosition="0">
        <references count="2">
          <reference field="4294967294" count="1" selected="0">
            <x v="1"/>
          </reference>
          <reference field="4" count="1" selected="0">
            <x v="4"/>
          </reference>
        </references>
      </pivotArea>
    </chartFormat>
    <chartFormat chart="9" format="29">
      <pivotArea type="data" outline="0" fieldPosition="0">
        <references count="2">
          <reference field="4294967294" count="1" selected="0">
            <x v="1"/>
          </reference>
          <reference field="4" count="1" selected="0">
            <x v="5"/>
          </reference>
        </references>
      </pivotArea>
    </chartFormat>
    <chartFormat chart="10" format="16" series="1">
      <pivotArea type="data" outline="0" fieldPosition="0">
        <references count="1">
          <reference field="4294967294" count="1" selected="0">
            <x v="0"/>
          </reference>
        </references>
      </pivotArea>
    </chartFormat>
    <chartFormat chart="10" format="17">
      <pivotArea type="data" outline="0" fieldPosition="0">
        <references count="2">
          <reference field="4294967294" count="1" selected="0">
            <x v="0"/>
          </reference>
          <reference field="4" count="1" selected="0">
            <x v="0"/>
          </reference>
        </references>
      </pivotArea>
    </chartFormat>
    <chartFormat chart="10" format="18">
      <pivotArea type="data" outline="0" fieldPosition="0">
        <references count="2">
          <reference field="4294967294" count="1" selected="0">
            <x v="0"/>
          </reference>
          <reference field="4" count="1" selected="0">
            <x v="1"/>
          </reference>
        </references>
      </pivotArea>
    </chartFormat>
    <chartFormat chart="10" format="19">
      <pivotArea type="data" outline="0" fieldPosition="0">
        <references count="2">
          <reference field="4294967294" count="1" selected="0">
            <x v="0"/>
          </reference>
          <reference field="4" count="1" selected="0">
            <x v="2"/>
          </reference>
        </references>
      </pivotArea>
    </chartFormat>
    <chartFormat chart="10" format="20">
      <pivotArea type="data" outline="0" fieldPosition="0">
        <references count="2">
          <reference field="4294967294" count="1" selected="0">
            <x v="0"/>
          </reference>
          <reference field="4" count="1" selected="0">
            <x v="3"/>
          </reference>
        </references>
      </pivotArea>
    </chartFormat>
    <chartFormat chart="10" format="21">
      <pivotArea type="data" outline="0" fieldPosition="0">
        <references count="2">
          <reference field="4294967294" count="1" selected="0">
            <x v="0"/>
          </reference>
          <reference field="4" count="1" selected="0">
            <x v="4"/>
          </reference>
        </references>
      </pivotArea>
    </chartFormat>
    <chartFormat chart="10" format="22">
      <pivotArea type="data" outline="0" fieldPosition="0">
        <references count="2">
          <reference field="4294967294" count="1" selected="0">
            <x v="0"/>
          </reference>
          <reference field="4" count="1" selected="0">
            <x v="5"/>
          </reference>
        </references>
      </pivotArea>
    </chartFormat>
    <chartFormat chart="10" format="23" series="1">
      <pivotArea type="data" outline="0" fieldPosition="0">
        <references count="1">
          <reference field="4294967294" count="1" selected="0">
            <x v="1"/>
          </reference>
        </references>
      </pivotArea>
    </chartFormat>
    <chartFormat chart="10" format="24">
      <pivotArea type="data" outline="0" fieldPosition="0">
        <references count="2">
          <reference field="4294967294" count="1" selected="0">
            <x v="1"/>
          </reference>
          <reference field="4" count="1" selected="0">
            <x v="0"/>
          </reference>
        </references>
      </pivotArea>
    </chartFormat>
    <chartFormat chart="10" format="25">
      <pivotArea type="data" outline="0" fieldPosition="0">
        <references count="2">
          <reference field="4294967294" count="1" selected="0">
            <x v="1"/>
          </reference>
          <reference field="4" count="1" selected="0">
            <x v="1"/>
          </reference>
        </references>
      </pivotArea>
    </chartFormat>
    <chartFormat chart="10" format="26">
      <pivotArea type="data" outline="0" fieldPosition="0">
        <references count="2">
          <reference field="4294967294" count="1" selected="0">
            <x v="1"/>
          </reference>
          <reference field="4" count="1" selected="0">
            <x v="2"/>
          </reference>
        </references>
      </pivotArea>
    </chartFormat>
    <chartFormat chart="10" format="27">
      <pivotArea type="data" outline="0" fieldPosition="0">
        <references count="2">
          <reference field="4294967294" count="1" selected="0">
            <x v="1"/>
          </reference>
          <reference field="4" count="1" selected="0">
            <x v="3"/>
          </reference>
        </references>
      </pivotArea>
    </chartFormat>
    <chartFormat chart="10" format="28">
      <pivotArea type="data" outline="0" fieldPosition="0">
        <references count="2">
          <reference field="4294967294" count="1" selected="0">
            <x v="1"/>
          </reference>
          <reference field="4" count="1" selected="0">
            <x v="4"/>
          </reference>
        </references>
      </pivotArea>
    </chartFormat>
    <chartFormat chart="10" format="29">
      <pivotArea type="data" outline="0" fieldPosition="0">
        <references count="2">
          <reference field="4294967294" count="1" selected="0">
            <x v="1"/>
          </reference>
          <reference field="4" count="1" selected="0">
            <x v="5"/>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53E45BD9-52ED-4B40-A260-1EF6508F68B6}" name="PivotTable3"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3">
  <location ref="L3:M10" firstHeaderRow="1" firstDataRow="1" firstDataCol="1"/>
  <pivotFields count="17">
    <pivotField showAll="0"/>
    <pivotField showAll="0"/>
    <pivotField showAll="0">
      <items count="23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t="default"/>
      </items>
    </pivotField>
    <pivotField showAll="0">
      <items count="235">
        <item x="219"/>
        <item x="149"/>
        <item x="75"/>
        <item x="63"/>
        <item x="2"/>
        <item x="150"/>
        <item x="104"/>
        <item x="144"/>
        <item x="4"/>
        <item x="213"/>
        <item x="120"/>
        <item x="179"/>
        <item x="214"/>
        <item x="60"/>
        <item x="161"/>
        <item x="77"/>
        <item x="44"/>
        <item x="95"/>
        <item x="13"/>
        <item x="124"/>
        <item x="29"/>
        <item x="206"/>
        <item x="38"/>
        <item x="72"/>
        <item x="174"/>
        <item x="80"/>
        <item x="41"/>
        <item x="112"/>
        <item x="184"/>
        <item x="20"/>
        <item x="74"/>
        <item x="201"/>
        <item x="109"/>
        <item x="85"/>
        <item x="42"/>
        <item x="137"/>
        <item x="27"/>
        <item x="189"/>
        <item x="168"/>
        <item x="17"/>
        <item x="19"/>
        <item x="170"/>
        <item x="90"/>
        <item x="8"/>
        <item x="32"/>
        <item x="57"/>
        <item x="11"/>
        <item x="227"/>
        <item x="175"/>
        <item x="69"/>
        <item x="222"/>
        <item x="133"/>
        <item x="215"/>
        <item x="197"/>
        <item x="84"/>
        <item x="119"/>
        <item x="51"/>
        <item x="183"/>
        <item x="202"/>
        <item x="16"/>
        <item x="207"/>
        <item x="52"/>
        <item x="205"/>
        <item x="167"/>
        <item x="97"/>
        <item x="96"/>
        <item x="204"/>
        <item x="230"/>
        <item x="127"/>
        <item x="186"/>
        <item x="216"/>
        <item x="26"/>
        <item x="37"/>
        <item x="86"/>
        <item x="76"/>
        <item x="82"/>
        <item x="173"/>
        <item x="81"/>
        <item x="22"/>
        <item x="228"/>
        <item x="233"/>
        <item x="47"/>
        <item x="67"/>
        <item x="89"/>
        <item x="191"/>
        <item x="156"/>
        <item x="93"/>
        <item x="98"/>
        <item x="195"/>
        <item x="0"/>
        <item x="217"/>
        <item x="143"/>
        <item x="198"/>
        <item x="218"/>
        <item x="172"/>
        <item x="101"/>
        <item x="178"/>
        <item x="55"/>
        <item x="122"/>
        <item x="108"/>
        <item x="71"/>
        <item x="121"/>
        <item x="162"/>
        <item x="165"/>
        <item x="190"/>
        <item x="208"/>
        <item x="220"/>
        <item x="5"/>
        <item x="232"/>
        <item x="118"/>
        <item x="196"/>
        <item x="126"/>
        <item x="123"/>
        <item x="59"/>
        <item x="130"/>
        <item x="147"/>
        <item x="15"/>
        <item x="163"/>
        <item x="139"/>
        <item x="176"/>
        <item x="113"/>
        <item x="229"/>
        <item x="62"/>
        <item x="131"/>
        <item x="18"/>
        <item x="192"/>
        <item x="134"/>
        <item x="114"/>
        <item x="223"/>
        <item x="43"/>
        <item x="171"/>
        <item x="155"/>
        <item x="106"/>
        <item x="14"/>
        <item x="140"/>
        <item x="39"/>
        <item x="92"/>
        <item x="157"/>
        <item x="148"/>
        <item x="49"/>
        <item x="128"/>
        <item x="145"/>
        <item x="210"/>
        <item x="209"/>
        <item x="105"/>
        <item x="78"/>
        <item x="10"/>
        <item x="154"/>
        <item x="35"/>
        <item x="31"/>
        <item x="3"/>
        <item x="132"/>
        <item x="159"/>
        <item x="70"/>
        <item x="199"/>
        <item x="68"/>
        <item x="188"/>
        <item x="33"/>
        <item x="136"/>
        <item x="129"/>
        <item x="160"/>
        <item x="87"/>
        <item x="211"/>
        <item x="21"/>
        <item x="225"/>
        <item x="50"/>
        <item x="36"/>
        <item x="193"/>
        <item x="151"/>
        <item x="56"/>
        <item x="138"/>
        <item x="158"/>
        <item x="91"/>
        <item x="111"/>
        <item x="182"/>
        <item x="28"/>
        <item x="99"/>
        <item x="53"/>
        <item x="181"/>
        <item x="79"/>
        <item x="103"/>
        <item x="7"/>
        <item x="83"/>
        <item x="169"/>
        <item x="177"/>
        <item x="153"/>
        <item x="45"/>
        <item x="166"/>
        <item x="180"/>
        <item x="58"/>
        <item x="231"/>
        <item x="40"/>
        <item x="54"/>
        <item x="25"/>
        <item x="194"/>
        <item x="187"/>
        <item x="152"/>
        <item x="30"/>
        <item x="64"/>
        <item x="200"/>
        <item x="24"/>
        <item x="66"/>
        <item x="65"/>
        <item x="203"/>
        <item x="61"/>
        <item x="107"/>
        <item x="224"/>
        <item x="73"/>
        <item x="88"/>
        <item x="94"/>
        <item x="6"/>
        <item x="23"/>
        <item x="1"/>
        <item x="102"/>
        <item x="115"/>
        <item x="212"/>
        <item x="135"/>
        <item x="116"/>
        <item x="125"/>
        <item x="226"/>
        <item x="185"/>
        <item x="12"/>
        <item x="110"/>
        <item x="117"/>
        <item x="164"/>
        <item x="221"/>
        <item x="146"/>
        <item x="48"/>
        <item x="141"/>
        <item x="100"/>
        <item x="34"/>
        <item x="142"/>
        <item x="9"/>
        <item x="46"/>
        <item t="default"/>
      </items>
    </pivotField>
    <pivotField axis="axisRow" showAll="0">
      <items count="7">
        <item sd="0" x="2"/>
        <item sd="0" x="0"/>
        <item sd="0" x="1"/>
        <item sd="0" x="4"/>
        <item sd="0" x="3"/>
        <item sd="0" x="5"/>
        <item t="default"/>
      </items>
    </pivotField>
    <pivotField numFmtId="164" showAll="0">
      <items count="235">
        <item x="226"/>
        <item x="209"/>
        <item x="150"/>
        <item x="64"/>
        <item x="137"/>
        <item x="177"/>
        <item x="173"/>
        <item x="216"/>
        <item x="229"/>
        <item x="142"/>
        <item x="6"/>
        <item x="44"/>
        <item x="157"/>
        <item x="28"/>
        <item x="176"/>
        <item x="76"/>
        <item x="180"/>
        <item x="134"/>
        <item x="116"/>
        <item x="126"/>
        <item x="188"/>
        <item x="3"/>
        <item x="215"/>
        <item x="174"/>
        <item x="153"/>
        <item x="65"/>
        <item x="78"/>
        <item x="83"/>
        <item x="22"/>
        <item x="37"/>
        <item x="53"/>
        <item x="4"/>
        <item x="97"/>
        <item x="7"/>
        <item x="222"/>
        <item x="178"/>
        <item x="10"/>
        <item x="210"/>
        <item x="185"/>
        <item x="103"/>
        <item x="132"/>
        <item x="79"/>
        <item x="107"/>
        <item x="81"/>
        <item x="175"/>
        <item x="48"/>
        <item x="179"/>
        <item x="181"/>
        <item x="17"/>
        <item x="145"/>
        <item x="69"/>
        <item x="70"/>
        <item x="130"/>
        <item x="225"/>
        <item x="127"/>
        <item x="91"/>
        <item x="80"/>
        <item x="20"/>
        <item x="14"/>
        <item x="29"/>
        <item x="123"/>
        <item x="125"/>
        <item x="230"/>
        <item x="36"/>
        <item x="199"/>
        <item x="136"/>
        <item x="118"/>
        <item x="119"/>
        <item x="191"/>
        <item x="23"/>
        <item x="86"/>
        <item x="43"/>
        <item x="66"/>
        <item x="169"/>
        <item x="52"/>
        <item x="62"/>
        <item x="49"/>
        <item x="129"/>
        <item x="61"/>
        <item x="207"/>
        <item x="15"/>
        <item x="211"/>
        <item x="59"/>
        <item x="111"/>
        <item x="152"/>
        <item x="85"/>
        <item x="190"/>
        <item x="113"/>
        <item x="71"/>
        <item x="141"/>
        <item x="26"/>
        <item x="167"/>
        <item x="72"/>
        <item x="117"/>
        <item x="9"/>
        <item x="101"/>
        <item x="1"/>
        <item x="25"/>
        <item x="166"/>
        <item x="133"/>
        <item x="135"/>
        <item x="223"/>
        <item x="60"/>
        <item x="73"/>
        <item x="46"/>
        <item x="108"/>
        <item x="159"/>
        <item x="155"/>
        <item x="128"/>
        <item x="96"/>
        <item x="45"/>
        <item x="146"/>
        <item x="158"/>
        <item x="114"/>
        <item x="154"/>
        <item x="112"/>
        <item x="67"/>
        <item x="38"/>
        <item x="189"/>
        <item x="51"/>
        <item x="168"/>
        <item x="187"/>
        <item x="58"/>
        <item x="214"/>
        <item x="109"/>
        <item x="161"/>
        <item x="30"/>
        <item x="115"/>
        <item x="147"/>
        <item x="184"/>
        <item x="89"/>
        <item x="110"/>
        <item x="186"/>
        <item x="201"/>
        <item x="208"/>
        <item x="12"/>
        <item x="98"/>
        <item x="219"/>
        <item x="18"/>
        <item x="204"/>
        <item x="90"/>
        <item x="160"/>
        <item x="165"/>
        <item x="13"/>
        <item x="77"/>
        <item x="88"/>
        <item x="50"/>
        <item x="200"/>
        <item x="195"/>
        <item x="47"/>
        <item x="54"/>
        <item x="104"/>
        <item x="87"/>
        <item x="19"/>
        <item x="24"/>
        <item x="212"/>
        <item x="32"/>
        <item x="21"/>
        <item x="172"/>
        <item x="84"/>
        <item x="233"/>
        <item x="33"/>
        <item x="183"/>
        <item x="144"/>
        <item x="192"/>
        <item x="39"/>
        <item x="82"/>
        <item x="56"/>
        <item x="105"/>
        <item x="40"/>
        <item x="170"/>
        <item x="232"/>
        <item x="121"/>
        <item x="197"/>
        <item x="202"/>
        <item x="124"/>
        <item x="31"/>
        <item x="203"/>
        <item x="151"/>
        <item x="11"/>
        <item x="148"/>
        <item x="34"/>
        <item x="100"/>
        <item x="227"/>
        <item x="120"/>
        <item x="143"/>
        <item x="139"/>
        <item x="75"/>
        <item x="231"/>
        <item x="122"/>
        <item x="162"/>
        <item x="224"/>
        <item x="5"/>
        <item x="182"/>
        <item x="138"/>
        <item x="35"/>
        <item x="218"/>
        <item x="164"/>
        <item x="0"/>
        <item x="95"/>
        <item x="2"/>
        <item x="8"/>
        <item x="198"/>
        <item x="217"/>
        <item x="196"/>
        <item x="194"/>
        <item x="42"/>
        <item x="106"/>
        <item x="140"/>
        <item x="99"/>
        <item x="193"/>
        <item x="68"/>
        <item x="205"/>
        <item x="220"/>
        <item x="206"/>
        <item x="74"/>
        <item x="213"/>
        <item x="94"/>
        <item x="228"/>
        <item x="55"/>
        <item x="57"/>
        <item x="163"/>
        <item x="63"/>
        <item x="102"/>
        <item x="131"/>
        <item x="171"/>
        <item x="16"/>
        <item x="27"/>
        <item x="149"/>
        <item x="156"/>
        <item x="93"/>
        <item x="221"/>
        <item x="92"/>
        <item x="41"/>
        <item t="default"/>
      </items>
    </pivotField>
    <pivotField numFmtId="164" showAll="0"/>
    <pivotField numFmtId="164" showAll="0"/>
    <pivotField numFmtId="164" showAll="0"/>
    <pivotField numFmtId="164" showAll="0"/>
    <pivotField numFmtId="164" showAll="0"/>
    <pivotField numFmtId="164" showAll="0"/>
    <pivotField numFmtId="164" showAll="0"/>
    <pivotField numFmtId="165" showAll="0"/>
    <pivotField numFmtId="43" showAll="0"/>
    <pivotField dataField="1" numFmtId="43" showAll="0"/>
    <pivotField showAll="0"/>
  </pivotFields>
  <rowFields count="1">
    <field x="4"/>
  </rowFields>
  <rowItems count="7">
    <i>
      <x/>
    </i>
    <i>
      <x v="1"/>
    </i>
    <i>
      <x v="2"/>
    </i>
    <i>
      <x v="3"/>
    </i>
    <i>
      <x v="4"/>
    </i>
    <i>
      <x v="5"/>
    </i>
    <i t="grand">
      <x/>
    </i>
  </rowItems>
  <colItems count="1">
    <i/>
  </colItems>
  <dataFields count="1">
    <dataField name="Sum of Growth Rate" fld="15" baseField="0" baseItem="0" numFmtId="43"/>
  </dataFields>
  <formats count="20">
    <format dxfId="71">
      <pivotArea outline="0" collapsedLevelsAreSubtotals="1" fieldPosition="0"/>
    </format>
    <format dxfId="70">
      <pivotArea dataOnly="0" labelOnly="1" outline="0" axis="axisValues" fieldPosition="0"/>
    </format>
    <format dxfId="69">
      <pivotArea type="all" dataOnly="0" outline="0" fieldPosition="0"/>
    </format>
    <format dxfId="68">
      <pivotArea outline="0" collapsedLevelsAreSubtotals="1" fieldPosition="0"/>
    </format>
    <format dxfId="67">
      <pivotArea field="4" type="button" dataOnly="0" labelOnly="1" outline="0" axis="axisRow" fieldPosition="0"/>
    </format>
    <format dxfId="66">
      <pivotArea dataOnly="0" labelOnly="1" fieldPosition="0">
        <references count="1">
          <reference field="4" count="0"/>
        </references>
      </pivotArea>
    </format>
    <format dxfId="65">
      <pivotArea dataOnly="0" labelOnly="1" grandRow="1" outline="0" fieldPosition="0"/>
    </format>
    <format dxfId="64">
      <pivotArea dataOnly="0" labelOnly="1" outline="0" axis="axisValues" fieldPosition="0"/>
    </format>
    <format dxfId="63">
      <pivotArea type="all" dataOnly="0" outline="0" fieldPosition="0"/>
    </format>
    <format dxfId="62">
      <pivotArea outline="0" collapsedLevelsAreSubtotals="1" fieldPosition="0"/>
    </format>
    <format dxfId="61">
      <pivotArea field="4" type="button" dataOnly="0" labelOnly="1" outline="0" axis="axisRow" fieldPosition="0"/>
    </format>
    <format dxfId="60">
      <pivotArea dataOnly="0" labelOnly="1" fieldPosition="0">
        <references count="1">
          <reference field="4" count="0"/>
        </references>
      </pivotArea>
    </format>
    <format dxfId="59">
      <pivotArea dataOnly="0" labelOnly="1" grandRow="1" outline="0" fieldPosition="0"/>
    </format>
    <format dxfId="58">
      <pivotArea dataOnly="0" labelOnly="1" outline="0" axis="axisValues" fieldPosition="0"/>
    </format>
    <format dxfId="57">
      <pivotArea type="all" dataOnly="0" outline="0" fieldPosition="0"/>
    </format>
    <format dxfId="56">
      <pivotArea outline="0" collapsedLevelsAreSubtotals="1" fieldPosition="0"/>
    </format>
    <format dxfId="55">
      <pivotArea field="4" type="button" dataOnly="0" labelOnly="1" outline="0" axis="axisRow" fieldPosition="0"/>
    </format>
    <format dxfId="54">
      <pivotArea dataOnly="0" labelOnly="1" fieldPosition="0">
        <references count="1">
          <reference field="4" count="0"/>
        </references>
      </pivotArea>
    </format>
    <format dxfId="53">
      <pivotArea dataOnly="0" labelOnly="1" grandRow="1" outline="0" fieldPosition="0"/>
    </format>
    <format dxfId="52">
      <pivotArea dataOnly="0" labelOnly="1" outline="0" axis="axisValues" fieldPosition="0"/>
    </format>
  </formats>
  <chartFormats count="7">
    <chartFormat chart="11" format="21" series="1">
      <pivotArea type="data" outline="0" fieldPosition="0">
        <references count="1">
          <reference field="4294967294" count="1" selected="0">
            <x v="0"/>
          </reference>
        </references>
      </pivotArea>
    </chartFormat>
    <chartFormat chart="11" format="22">
      <pivotArea type="data" outline="0" fieldPosition="0">
        <references count="2">
          <reference field="4294967294" count="1" selected="0">
            <x v="0"/>
          </reference>
          <reference field="4" count="1" selected="0">
            <x v="0"/>
          </reference>
        </references>
      </pivotArea>
    </chartFormat>
    <chartFormat chart="11" format="23">
      <pivotArea type="data" outline="0" fieldPosition="0">
        <references count="2">
          <reference field="4294967294" count="1" selected="0">
            <x v="0"/>
          </reference>
          <reference field="4" count="1" selected="0">
            <x v="1"/>
          </reference>
        </references>
      </pivotArea>
    </chartFormat>
    <chartFormat chart="11" format="24">
      <pivotArea type="data" outline="0" fieldPosition="0">
        <references count="2">
          <reference field="4294967294" count="1" selected="0">
            <x v="0"/>
          </reference>
          <reference field="4" count="1" selected="0">
            <x v="2"/>
          </reference>
        </references>
      </pivotArea>
    </chartFormat>
    <chartFormat chart="11" format="25">
      <pivotArea type="data" outline="0" fieldPosition="0">
        <references count="2">
          <reference field="4294967294" count="1" selected="0">
            <x v="0"/>
          </reference>
          <reference field="4" count="1" selected="0">
            <x v="3"/>
          </reference>
        </references>
      </pivotArea>
    </chartFormat>
    <chartFormat chart="11" format="26">
      <pivotArea type="data" outline="0" fieldPosition="0">
        <references count="2">
          <reference field="4294967294" count="1" selected="0">
            <x v="0"/>
          </reference>
          <reference field="4" count="1" selected="0">
            <x v="4"/>
          </reference>
        </references>
      </pivotArea>
    </chartFormat>
    <chartFormat chart="11" format="27">
      <pivotArea type="data" outline="0" fieldPosition="0">
        <references count="2">
          <reference field="4294967294" count="1" selected="0">
            <x v="0"/>
          </reference>
          <reference field="4" count="1" selected="0">
            <x v="5"/>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1FF0A465-EC19-4067-B5CD-D7B974BE7478}" name="hi"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3">
  <location ref="P15:Q77" firstHeaderRow="1" firstDataRow="1" firstDataCol="1"/>
  <pivotFields count="17">
    <pivotField showAll="0"/>
    <pivotField showAll="0"/>
    <pivotField showAll="0">
      <items count="23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t="default"/>
      </items>
    </pivotField>
    <pivotField axis="axisRow" showAll="0">
      <items count="235">
        <item x="219"/>
        <item x="149"/>
        <item x="75"/>
        <item x="63"/>
        <item x="2"/>
        <item x="150"/>
        <item x="104"/>
        <item x="144"/>
        <item x="4"/>
        <item x="213"/>
        <item x="120"/>
        <item x="179"/>
        <item x="214"/>
        <item x="60"/>
        <item x="161"/>
        <item x="77"/>
        <item x="44"/>
        <item x="95"/>
        <item x="13"/>
        <item x="124"/>
        <item x="29"/>
        <item x="206"/>
        <item x="38"/>
        <item x="72"/>
        <item x="174"/>
        <item x="80"/>
        <item x="41"/>
        <item x="112"/>
        <item x="184"/>
        <item x="20"/>
        <item x="74"/>
        <item x="201"/>
        <item x="109"/>
        <item x="85"/>
        <item x="42"/>
        <item x="137"/>
        <item x="27"/>
        <item x="189"/>
        <item x="168"/>
        <item x="17"/>
        <item x="19"/>
        <item x="170"/>
        <item x="90"/>
        <item x="8"/>
        <item x="32"/>
        <item x="57"/>
        <item x="11"/>
        <item x="227"/>
        <item x="175"/>
        <item x="69"/>
        <item x="222"/>
        <item x="133"/>
        <item x="215"/>
        <item x="197"/>
        <item x="84"/>
        <item x="119"/>
        <item x="51"/>
        <item x="183"/>
        <item x="202"/>
        <item x="16"/>
        <item x="207"/>
        <item x="52"/>
        <item x="205"/>
        <item x="167"/>
        <item x="97"/>
        <item x="96"/>
        <item x="204"/>
        <item x="230"/>
        <item x="127"/>
        <item x="186"/>
        <item x="216"/>
        <item x="26"/>
        <item x="37"/>
        <item x="86"/>
        <item x="76"/>
        <item x="82"/>
        <item x="173"/>
        <item x="81"/>
        <item x="22"/>
        <item x="228"/>
        <item x="233"/>
        <item x="47"/>
        <item x="67"/>
        <item x="89"/>
        <item x="191"/>
        <item x="156"/>
        <item x="93"/>
        <item x="98"/>
        <item x="195"/>
        <item x="0"/>
        <item x="217"/>
        <item x="143"/>
        <item x="198"/>
        <item x="218"/>
        <item x="172"/>
        <item x="101"/>
        <item x="178"/>
        <item x="55"/>
        <item x="122"/>
        <item x="108"/>
        <item x="71"/>
        <item x="121"/>
        <item x="162"/>
        <item x="165"/>
        <item x="190"/>
        <item x="208"/>
        <item x="220"/>
        <item x="5"/>
        <item x="232"/>
        <item x="118"/>
        <item x="196"/>
        <item x="126"/>
        <item x="123"/>
        <item x="59"/>
        <item x="130"/>
        <item x="147"/>
        <item x="15"/>
        <item x="163"/>
        <item x="139"/>
        <item x="176"/>
        <item x="113"/>
        <item x="229"/>
        <item x="62"/>
        <item x="131"/>
        <item x="18"/>
        <item x="192"/>
        <item x="134"/>
        <item x="114"/>
        <item x="223"/>
        <item x="43"/>
        <item x="171"/>
        <item x="155"/>
        <item x="106"/>
        <item x="14"/>
        <item x="140"/>
        <item x="39"/>
        <item x="92"/>
        <item x="157"/>
        <item x="148"/>
        <item x="49"/>
        <item x="128"/>
        <item x="145"/>
        <item x="210"/>
        <item x="209"/>
        <item x="105"/>
        <item x="78"/>
        <item x="10"/>
        <item x="154"/>
        <item x="35"/>
        <item x="31"/>
        <item x="3"/>
        <item x="132"/>
        <item x="159"/>
        <item x="70"/>
        <item x="199"/>
        <item x="68"/>
        <item x="188"/>
        <item x="33"/>
        <item x="136"/>
        <item x="129"/>
        <item x="160"/>
        <item x="87"/>
        <item x="211"/>
        <item x="21"/>
        <item x="225"/>
        <item x="50"/>
        <item x="36"/>
        <item x="193"/>
        <item x="151"/>
        <item x="56"/>
        <item x="138"/>
        <item x="158"/>
        <item x="91"/>
        <item x="111"/>
        <item x="182"/>
        <item x="28"/>
        <item x="99"/>
        <item x="53"/>
        <item x="181"/>
        <item x="79"/>
        <item x="103"/>
        <item x="7"/>
        <item x="83"/>
        <item x="169"/>
        <item x="177"/>
        <item x="153"/>
        <item x="45"/>
        <item x="166"/>
        <item x="180"/>
        <item x="58"/>
        <item x="231"/>
        <item x="40"/>
        <item x="54"/>
        <item x="25"/>
        <item x="194"/>
        <item x="187"/>
        <item x="152"/>
        <item x="30"/>
        <item x="64"/>
        <item x="200"/>
        <item x="24"/>
        <item x="66"/>
        <item x="65"/>
        <item x="203"/>
        <item x="61"/>
        <item x="107"/>
        <item x="224"/>
        <item x="73"/>
        <item x="88"/>
        <item x="94"/>
        <item x="6"/>
        <item x="23"/>
        <item x="1"/>
        <item x="102"/>
        <item x="115"/>
        <item x="212"/>
        <item x="135"/>
        <item x="116"/>
        <item x="125"/>
        <item x="226"/>
        <item x="185"/>
        <item x="12"/>
        <item x="110"/>
        <item x="117"/>
        <item x="164"/>
        <item x="221"/>
        <item x="146"/>
        <item x="48"/>
        <item x="141"/>
        <item x="100"/>
        <item x="34"/>
        <item x="142"/>
        <item x="9"/>
        <item x="46"/>
        <item t="default"/>
      </items>
    </pivotField>
    <pivotField axis="axisRow" showAll="0">
      <items count="7">
        <item x="2"/>
        <item sd="0" x="0"/>
        <item sd="0" x="1"/>
        <item sd="0" x="4"/>
        <item h="1" sd="0" x="3"/>
        <item h="1" sd="0" x="5"/>
        <item t="default"/>
      </items>
    </pivotField>
    <pivotField numFmtId="164" showAll="0">
      <items count="235">
        <item x="226"/>
        <item x="209"/>
        <item x="150"/>
        <item x="64"/>
        <item x="137"/>
        <item x="177"/>
        <item x="173"/>
        <item x="216"/>
        <item x="229"/>
        <item x="142"/>
        <item x="6"/>
        <item x="44"/>
        <item x="157"/>
        <item x="28"/>
        <item x="176"/>
        <item x="76"/>
        <item x="180"/>
        <item x="134"/>
        <item x="116"/>
        <item x="126"/>
        <item x="188"/>
        <item x="3"/>
        <item x="215"/>
        <item x="174"/>
        <item x="153"/>
        <item x="65"/>
        <item x="78"/>
        <item x="83"/>
        <item x="22"/>
        <item x="37"/>
        <item x="53"/>
        <item x="4"/>
        <item x="97"/>
        <item x="7"/>
        <item x="222"/>
        <item x="178"/>
        <item x="10"/>
        <item x="210"/>
        <item x="185"/>
        <item x="103"/>
        <item x="132"/>
        <item x="79"/>
        <item x="107"/>
        <item x="81"/>
        <item x="175"/>
        <item x="48"/>
        <item x="179"/>
        <item x="181"/>
        <item x="17"/>
        <item x="145"/>
        <item x="69"/>
        <item x="70"/>
        <item x="130"/>
        <item x="225"/>
        <item x="127"/>
        <item x="91"/>
        <item x="80"/>
        <item x="20"/>
        <item x="14"/>
        <item x="29"/>
        <item x="123"/>
        <item x="125"/>
        <item x="230"/>
        <item x="36"/>
        <item x="199"/>
        <item x="136"/>
        <item x="118"/>
        <item x="119"/>
        <item x="191"/>
        <item x="23"/>
        <item x="86"/>
        <item x="43"/>
        <item x="66"/>
        <item x="169"/>
        <item x="52"/>
        <item x="62"/>
        <item x="49"/>
        <item x="129"/>
        <item x="61"/>
        <item x="207"/>
        <item x="15"/>
        <item x="211"/>
        <item x="59"/>
        <item x="111"/>
        <item x="152"/>
        <item x="85"/>
        <item x="190"/>
        <item x="113"/>
        <item x="71"/>
        <item x="141"/>
        <item x="26"/>
        <item x="167"/>
        <item x="72"/>
        <item x="117"/>
        <item x="9"/>
        <item x="101"/>
        <item x="1"/>
        <item x="25"/>
        <item x="166"/>
        <item x="133"/>
        <item x="135"/>
        <item x="223"/>
        <item x="60"/>
        <item x="73"/>
        <item x="46"/>
        <item x="108"/>
        <item x="159"/>
        <item x="155"/>
        <item x="128"/>
        <item x="96"/>
        <item x="45"/>
        <item x="146"/>
        <item x="158"/>
        <item x="114"/>
        <item x="154"/>
        <item x="112"/>
        <item x="67"/>
        <item x="38"/>
        <item x="189"/>
        <item x="51"/>
        <item x="168"/>
        <item x="187"/>
        <item x="58"/>
        <item x="214"/>
        <item x="109"/>
        <item x="161"/>
        <item x="30"/>
        <item x="115"/>
        <item x="147"/>
        <item x="184"/>
        <item x="89"/>
        <item x="110"/>
        <item x="186"/>
        <item x="201"/>
        <item x="208"/>
        <item x="12"/>
        <item x="98"/>
        <item x="219"/>
        <item x="18"/>
        <item x="204"/>
        <item x="90"/>
        <item x="160"/>
        <item x="165"/>
        <item x="13"/>
        <item x="77"/>
        <item x="88"/>
        <item x="50"/>
        <item x="200"/>
        <item x="195"/>
        <item x="47"/>
        <item x="54"/>
        <item x="104"/>
        <item x="87"/>
        <item x="19"/>
        <item x="24"/>
        <item x="212"/>
        <item x="32"/>
        <item x="21"/>
        <item x="172"/>
        <item x="84"/>
        <item x="233"/>
        <item x="33"/>
        <item x="183"/>
        <item x="144"/>
        <item x="192"/>
        <item x="39"/>
        <item x="82"/>
        <item x="56"/>
        <item x="105"/>
        <item x="40"/>
        <item x="170"/>
        <item x="232"/>
        <item x="121"/>
        <item x="197"/>
        <item x="202"/>
        <item x="124"/>
        <item x="31"/>
        <item x="203"/>
        <item x="151"/>
        <item x="11"/>
        <item x="148"/>
        <item x="34"/>
        <item x="100"/>
        <item x="227"/>
        <item x="120"/>
        <item x="143"/>
        <item x="139"/>
        <item x="75"/>
        <item x="231"/>
        <item x="122"/>
        <item x="162"/>
        <item x="224"/>
        <item x="5"/>
        <item x="182"/>
        <item x="138"/>
        <item x="35"/>
        <item x="218"/>
        <item x="164"/>
        <item x="0"/>
        <item x="95"/>
        <item x="2"/>
        <item x="8"/>
        <item x="198"/>
        <item x="217"/>
        <item x="196"/>
        <item x="194"/>
        <item x="42"/>
        <item x="106"/>
        <item x="140"/>
        <item x="99"/>
        <item x="193"/>
        <item x="68"/>
        <item x="205"/>
        <item x="220"/>
        <item x="206"/>
        <item x="74"/>
        <item x="213"/>
        <item x="94"/>
        <item x="228"/>
        <item x="55"/>
        <item x="57"/>
        <item x="163"/>
        <item x="63"/>
        <item x="102"/>
        <item x="131"/>
        <item x="171"/>
        <item x="16"/>
        <item x="27"/>
        <item x="149"/>
        <item x="156"/>
        <item x="93"/>
        <item x="221"/>
        <item x="92"/>
        <item x="41"/>
        <item t="default"/>
      </items>
    </pivotField>
    <pivotField numFmtId="164" showAll="0"/>
    <pivotField numFmtId="164" showAll="0"/>
    <pivotField numFmtId="164" showAll="0"/>
    <pivotField numFmtId="164" showAll="0"/>
    <pivotField numFmtId="164" showAll="0"/>
    <pivotField numFmtId="164" showAll="0"/>
    <pivotField numFmtId="164" showAll="0"/>
    <pivotField numFmtId="165" showAll="0"/>
    <pivotField numFmtId="43" showAll="0"/>
    <pivotField dataField="1" numFmtId="43" showAll="0"/>
    <pivotField showAll="0"/>
  </pivotFields>
  <rowFields count="2">
    <field x="4"/>
    <field x="3"/>
  </rowFields>
  <rowItems count="62">
    <i>
      <x/>
    </i>
    <i r="1">
      <x v="1"/>
    </i>
    <i r="1">
      <x v="2"/>
    </i>
    <i r="1">
      <x v="3"/>
    </i>
    <i r="1">
      <x v="4"/>
    </i>
    <i r="1">
      <x v="10"/>
    </i>
    <i r="1">
      <x v="13"/>
    </i>
    <i r="1">
      <x v="19"/>
    </i>
    <i r="1">
      <x v="22"/>
    </i>
    <i r="1">
      <x v="23"/>
    </i>
    <i r="1">
      <x v="33"/>
    </i>
    <i r="1">
      <x v="38"/>
    </i>
    <i r="1">
      <x v="44"/>
    </i>
    <i r="1">
      <x v="45"/>
    </i>
    <i r="1">
      <x v="54"/>
    </i>
    <i r="1">
      <x v="57"/>
    </i>
    <i r="1">
      <x v="61"/>
    </i>
    <i r="1">
      <x v="62"/>
    </i>
    <i r="1">
      <x v="67"/>
    </i>
    <i r="1">
      <x v="69"/>
    </i>
    <i r="1">
      <x v="71"/>
    </i>
    <i r="1">
      <x v="80"/>
    </i>
    <i r="1">
      <x v="88"/>
    </i>
    <i r="1">
      <x v="90"/>
    </i>
    <i r="1">
      <x v="92"/>
    </i>
    <i r="1">
      <x v="94"/>
    </i>
    <i r="1">
      <x v="97"/>
    </i>
    <i r="1">
      <x v="100"/>
    </i>
    <i r="1">
      <x v="101"/>
    </i>
    <i r="1">
      <x v="105"/>
    </i>
    <i r="1">
      <x v="107"/>
    </i>
    <i r="1">
      <x v="108"/>
    </i>
    <i r="1">
      <x v="113"/>
    </i>
    <i r="1">
      <x v="114"/>
    </i>
    <i r="1">
      <x v="118"/>
    </i>
    <i r="1">
      <x v="120"/>
    </i>
    <i r="1">
      <x v="122"/>
    </i>
    <i r="1">
      <x v="125"/>
    </i>
    <i r="1">
      <x v="127"/>
    </i>
    <i r="1">
      <x v="129"/>
    </i>
    <i r="1">
      <x v="132"/>
    </i>
    <i r="1">
      <x v="135"/>
    </i>
    <i r="1">
      <x v="138"/>
    </i>
    <i r="1">
      <x v="140"/>
    </i>
    <i r="1">
      <x v="149"/>
    </i>
    <i r="1">
      <x v="159"/>
    </i>
    <i r="1">
      <x v="163"/>
    </i>
    <i r="1">
      <x v="166"/>
    </i>
    <i r="1">
      <x v="167"/>
    </i>
    <i r="1">
      <x v="170"/>
    </i>
    <i r="1">
      <x v="178"/>
    </i>
    <i r="1">
      <x v="183"/>
    </i>
    <i r="1">
      <x v="214"/>
    </i>
    <i r="1">
      <x v="215"/>
    </i>
    <i r="1">
      <x v="220"/>
    </i>
    <i r="1">
      <x v="228"/>
    </i>
    <i r="1">
      <x v="229"/>
    </i>
    <i r="1">
      <x v="230"/>
    </i>
    <i>
      <x v="1"/>
    </i>
    <i>
      <x v="2"/>
    </i>
    <i>
      <x v="3"/>
    </i>
    <i t="grand">
      <x/>
    </i>
  </rowItems>
  <colItems count="1">
    <i/>
  </colItems>
  <dataFields count="1">
    <dataField name="Sum of Growth Rate" fld="15" baseField="0" baseItem="0" numFmtId="43"/>
  </dataFields>
  <formats count="26">
    <format dxfId="97">
      <pivotArea outline="0" collapsedLevelsAreSubtotals="1" fieldPosition="0"/>
    </format>
    <format dxfId="96">
      <pivotArea dataOnly="0" labelOnly="1" outline="0" axis="axisValues" fieldPosition="0"/>
    </format>
    <format dxfId="95">
      <pivotArea type="all" dataOnly="0" outline="0" fieldPosition="0"/>
    </format>
    <format dxfId="94">
      <pivotArea outline="0" collapsedLevelsAreSubtotals="1" fieldPosition="0"/>
    </format>
    <format dxfId="93">
      <pivotArea field="4" type="button" dataOnly="0" labelOnly="1" outline="0" axis="axisRow" fieldPosition="0"/>
    </format>
    <format dxfId="92">
      <pivotArea dataOnly="0" labelOnly="1" fieldPosition="0">
        <references count="1">
          <reference field="4" count="0"/>
        </references>
      </pivotArea>
    </format>
    <format dxfId="91">
      <pivotArea dataOnly="0" labelOnly="1" grandRow="1" outline="0" fieldPosition="0"/>
    </format>
    <format dxfId="90">
      <pivotArea dataOnly="0" labelOnly="1" fieldPosition="0">
        <references count="2">
          <reference field="3" count="50">
            <x v="1"/>
            <x v="2"/>
            <x v="3"/>
            <x v="4"/>
            <x v="10"/>
            <x v="13"/>
            <x v="19"/>
            <x v="22"/>
            <x v="23"/>
            <x v="33"/>
            <x v="38"/>
            <x v="44"/>
            <x v="45"/>
            <x v="54"/>
            <x v="57"/>
            <x v="61"/>
            <x v="62"/>
            <x v="67"/>
            <x v="69"/>
            <x v="71"/>
            <x v="80"/>
            <x v="88"/>
            <x v="90"/>
            <x v="92"/>
            <x v="94"/>
            <x v="97"/>
            <x v="100"/>
            <x v="101"/>
            <x v="105"/>
            <x v="107"/>
            <x v="108"/>
            <x v="113"/>
            <x v="114"/>
            <x v="118"/>
            <x v="120"/>
            <x v="122"/>
            <x v="125"/>
            <x v="127"/>
            <x v="129"/>
            <x v="132"/>
            <x v="135"/>
            <x v="138"/>
            <x v="140"/>
            <x v="149"/>
            <x v="159"/>
            <x v="163"/>
            <x v="166"/>
            <x v="167"/>
            <x v="170"/>
            <x v="178"/>
          </reference>
          <reference field="4" count="1" selected="0">
            <x v="0"/>
          </reference>
        </references>
      </pivotArea>
    </format>
    <format dxfId="89">
      <pivotArea dataOnly="0" labelOnly="1" fieldPosition="0">
        <references count="2">
          <reference field="3" count="7">
            <x v="183"/>
            <x v="214"/>
            <x v="215"/>
            <x v="220"/>
            <x v="228"/>
            <x v="229"/>
            <x v="230"/>
          </reference>
          <reference field="4" count="1" selected="0">
            <x v="0"/>
          </reference>
        </references>
      </pivotArea>
    </format>
    <format dxfId="88">
      <pivotArea dataOnly="0" labelOnly="1" outline="0" axis="axisValues" fieldPosition="0"/>
    </format>
    <format dxfId="87">
      <pivotArea type="all" dataOnly="0" outline="0" fieldPosition="0"/>
    </format>
    <format dxfId="86">
      <pivotArea outline="0" collapsedLevelsAreSubtotals="1" fieldPosition="0"/>
    </format>
    <format dxfId="85">
      <pivotArea field="4" type="button" dataOnly="0" labelOnly="1" outline="0" axis="axisRow" fieldPosition="0"/>
    </format>
    <format dxfId="84">
      <pivotArea dataOnly="0" labelOnly="1" fieldPosition="0">
        <references count="1">
          <reference field="4" count="0"/>
        </references>
      </pivotArea>
    </format>
    <format dxfId="83">
      <pivotArea dataOnly="0" labelOnly="1" grandRow="1" outline="0" fieldPosition="0"/>
    </format>
    <format dxfId="82">
      <pivotArea dataOnly="0" labelOnly="1" fieldPosition="0">
        <references count="2">
          <reference field="3" count="50">
            <x v="1"/>
            <x v="2"/>
            <x v="3"/>
            <x v="4"/>
            <x v="10"/>
            <x v="13"/>
            <x v="19"/>
            <x v="22"/>
            <x v="23"/>
            <x v="33"/>
            <x v="38"/>
            <x v="44"/>
            <x v="45"/>
            <x v="54"/>
            <x v="57"/>
            <x v="61"/>
            <x v="62"/>
            <x v="67"/>
            <x v="69"/>
            <x v="71"/>
            <x v="80"/>
            <x v="88"/>
            <x v="90"/>
            <x v="92"/>
            <x v="94"/>
            <x v="97"/>
            <x v="100"/>
            <x v="101"/>
            <x v="105"/>
            <x v="107"/>
            <x v="108"/>
            <x v="113"/>
            <x v="114"/>
            <x v="118"/>
            <x v="120"/>
            <x v="122"/>
            <x v="125"/>
            <x v="127"/>
            <x v="129"/>
            <x v="132"/>
            <x v="135"/>
            <x v="138"/>
            <x v="140"/>
            <x v="149"/>
            <x v="159"/>
            <x v="163"/>
            <x v="166"/>
            <x v="167"/>
            <x v="170"/>
            <x v="178"/>
          </reference>
          <reference field="4" count="1" selected="0">
            <x v="0"/>
          </reference>
        </references>
      </pivotArea>
    </format>
    <format dxfId="81">
      <pivotArea dataOnly="0" labelOnly="1" fieldPosition="0">
        <references count="2">
          <reference field="3" count="7">
            <x v="183"/>
            <x v="214"/>
            <x v="215"/>
            <x v="220"/>
            <x v="228"/>
            <x v="229"/>
            <x v="230"/>
          </reference>
          <reference field="4" count="1" selected="0">
            <x v="0"/>
          </reference>
        </references>
      </pivotArea>
    </format>
    <format dxfId="80">
      <pivotArea dataOnly="0" labelOnly="1" outline="0" axis="axisValues" fieldPosition="0"/>
    </format>
    <format dxfId="79">
      <pivotArea type="all" dataOnly="0" outline="0" fieldPosition="0"/>
    </format>
    <format dxfId="78">
      <pivotArea outline="0" collapsedLevelsAreSubtotals="1" fieldPosition="0"/>
    </format>
    <format dxfId="77">
      <pivotArea field="4" type="button" dataOnly="0" labelOnly="1" outline="0" axis="axisRow" fieldPosition="0"/>
    </format>
    <format dxfId="76">
      <pivotArea dataOnly="0" labelOnly="1" fieldPosition="0">
        <references count="1">
          <reference field="4" count="0"/>
        </references>
      </pivotArea>
    </format>
    <format dxfId="75">
      <pivotArea dataOnly="0" labelOnly="1" grandRow="1" outline="0" fieldPosition="0"/>
    </format>
    <format dxfId="74">
      <pivotArea dataOnly="0" labelOnly="1" fieldPosition="0">
        <references count="2">
          <reference field="3" count="50">
            <x v="1"/>
            <x v="2"/>
            <x v="3"/>
            <x v="4"/>
            <x v="10"/>
            <x v="13"/>
            <x v="19"/>
            <x v="22"/>
            <x v="23"/>
            <x v="33"/>
            <x v="38"/>
            <x v="44"/>
            <x v="45"/>
            <x v="54"/>
            <x v="57"/>
            <x v="61"/>
            <x v="62"/>
            <x v="67"/>
            <x v="69"/>
            <x v="71"/>
            <x v="80"/>
            <x v="88"/>
            <x v="90"/>
            <x v="92"/>
            <x v="94"/>
            <x v="97"/>
            <x v="100"/>
            <x v="101"/>
            <x v="105"/>
            <x v="107"/>
            <x v="108"/>
            <x v="113"/>
            <x v="114"/>
            <x v="118"/>
            <x v="120"/>
            <x v="122"/>
            <x v="125"/>
            <x v="127"/>
            <x v="129"/>
            <x v="132"/>
            <x v="135"/>
            <x v="138"/>
            <x v="140"/>
            <x v="149"/>
            <x v="159"/>
            <x v="163"/>
            <x v="166"/>
            <x v="167"/>
            <x v="170"/>
            <x v="178"/>
          </reference>
          <reference field="4" count="1" selected="0">
            <x v="0"/>
          </reference>
        </references>
      </pivotArea>
    </format>
    <format dxfId="73">
      <pivotArea dataOnly="0" labelOnly="1" fieldPosition="0">
        <references count="2">
          <reference field="3" count="7">
            <x v="183"/>
            <x v="214"/>
            <x v="215"/>
            <x v="220"/>
            <x v="228"/>
            <x v="229"/>
            <x v="230"/>
          </reference>
          <reference field="4" count="1" selected="0">
            <x v="0"/>
          </reference>
        </references>
      </pivotArea>
    </format>
    <format dxfId="72">
      <pivotArea dataOnly="0" labelOnly="1" outline="0" axis="axisValues" fieldPosition="0"/>
    </format>
  </formats>
  <chartFormats count="7">
    <chartFormat chart="11" format="21" series="1">
      <pivotArea type="data" outline="0" fieldPosition="0">
        <references count="1">
          <reference field="4294967294" count="1" selected="0">
            <x v="0"/>
          </reference>
        </references>
      </pivotArea>
    </chartFormat>
    <chartFormat chart="11" format="22">
      <pivotArea type="data" outline="0" fieldPosition="0">
        <references count="2">
          <reference field="4294967294" count="1" selected="0">
            <x v="0"/>
          </reference>
          <reference field="4" count="1" selected="0">
            <x v="0"/>
          </reference>
        </references>
      </pivotArea>
    </chartFormat>
    <chartFormat chart="11" format="23">
      <pivotArea type="data" outline="0" fieldPosition="0">
        <references count="2">
          <reference field="4294967294" count="1" selected="0">
            <x v="0"/>
          </reference>
          <reference field="4" count="1" selected="0">
            <x v="1"/>
          </reference>
        </references>
      </pivotArea>
    </chartFormat>
    <chartFormat chart="11" format="24">
      <pivotArea type="data" outline="0" fieldPosition="0">
        <references count="2">
          <reference field="4294967294" count="1" selected="0">
            <x v="0"/>
          </reference>
          <reference field="4" count="1" selected="0">
            <x v="2"/>
          </reference>
        </references>
      </pivotArea>
    </chartFormat>
    <chartFormat chart="11" format="25">
      <pivotArea type="data" outline="0" fieldPosition="0">
        <references count="2">
          <reference field="4294967294" count="1" selected="0">
            <x v="0"/>
          </reference>
          <reference field="4" count="1" selected="0">
            <x v="3"/>
          </reference>
        </references>
      </pivotArea>
    </chartFormat>
    <chartFormat chart="11" format="26">
      <pivotArea type="data" outline="0" fieldPosition="0">
        <references count="2">
          <reference field="4294967294" count="1" selected="0">
            <x v="0"/>
          </reference>
          <reference field="4" count="1" selected="0">
            <x v="4"/>
          </reference>
        </references>
      </pivotArea>
    </chartFormat>
    <chartFormat chart="11" format="27">
      <pivotArea type="data" outline="0" fieldPosition="0">
        <references count="2">
          <reference field="4294967294" count="1" selected="0">
            <x v="0"/>
          </reference>
          <reference field="4" count="1" selected="0">
            <x v="5"/>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C25D2FAC-FA99-4665-B6B5-0A0ED190794C}" name="PivotTable5"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0">
  <location ref="T3:U8" firstHeaderRow="1" firstDataRow="1" firstDataCol="1"/>
  <pivotFields count="17">
    <pivotField showAll="0"/>
    <pivotField showAll="0"/>
    <pivotField axis="axisRow" showAll="0">
      <items count="23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t="default"/>
      </items>
    </pivotField>
    <pivotField showAll="0"/>
    <pivotField axis="axisRow" showAll="0">
      <items count="7">
        <item sd="0" x="2"/>
        <item sd="0" x="0"/>
        <item sd="0" x="1"/>
        <item sd="0" x="4"/>
        <item h="1" sd="0" x="3"/>
        <item h="1" sd="0" x="5"/>
        <item t="default" sd="0"/>
      </items>
    </pivotField>
    <pivotField numFmtId="164" showAll="0"/>
    <pivotField numFmtId="164" showAll="0"/>
    <pivotField numFmtId="164" showAll="0"/>
    <pivotField numFmtId="164" showAll="0"/>
    <pivotField numFmtId="164" showAll="0"/>
    <pivotField numFmtId="164" showAll="0"/>
    <pivotField numFmtId="164" showAll="0"/>
    <pivotField numFmtId="164" showAll="0"/>
    <pivotField numFmtId="165" showAll="0"/>
    <pivotField numFmtId="43" showAll="0"/>
    <pivotField numFmtId="43" showAll="0"/>
    <pivotField dataField="1" showAll="0"/>
  </pivotFields>
  <rowFields count="2">
    <field x="4"/>
    <field x="2"/>
  </rowFields>
  <rowItems count="5">
    <i>
      <x/>
    </i>
    <i>
      <x v="1"/>
    </i>
    <i>
      <x v="2"/>
    </i>
    <i>
      <x v="3"/>
    </i>
    <i t="grand">
      <x/>
    </i>
  </rowItems>
  <colItems count="1">
    <i/>
  </colItems>
  <dataFields count="1">
    <dataField name="Sum of World Population Percentage" fld="16" baseField="0" baseItem="0"/>
  </dataFields>
  <formats count="18">
    <format dxfId="115">
      <pivotArea type="all" dataOnly="0" outline="0" fieldPosition="0"/>
    </format>
    <format dxfId="114">
      <pivotArea outline="0" collapsedLevelsAreSubtotals="1" fieldPosition="0"/>
    </format>
    <format dxfId="113">
      <pivotArea field="4" type="button" dataOnly="0" labelOnly="1" outline="0" axis="axisRow" fieldPosition="0"/>
    </format>
    <format dxfId="112">
      <pivotArea dataOnly="0" labelOnly="1" fieldPosition="0">
        <references count="1">
          <reference field="4" count="0"/>
        </references>
      </pivotArea>
    </format>
    <format dxfId="111">
      <pivotArea dataOnly="0" labelOnly="1" grandRow="1" outline="0" fieldPosition="0"/>
    </format>
    <format dxfId="110">
      <pivotArea dataOnly="0" labelOnly="1" outline="0" axis="axisValues" fieldPosition="0"/>
    </format>
    <format dxfId="109">
      <pivotArea type="all" dataOnly="0" outline="0" fieldPosition="0"/>
    </format>
    <format dxfId="108">
      <pivotArea outline="0" collapsedLevelsAreSubtotals="1" fieldPosition="0"/>
    </format>
    <format dxfId="107">
      <pivotArea field="4" type="button" dataOnly="0" labelOnly="1" outline="0" axis="axisRow" fieldPosition="0"/>
    </format>
    <format dxfId="106">
      <pivotArea dataOnly="0" labelOnly="1" fieldPosition="0">
        <references count="1">
          <reference field="4" count="0"/>
        </references>
      </pivotArea>
    </format>
    <format dxfId="105">
      <pivotArea dataOnly="0" labelOnly="1" grandRow="1" outline="0" fieldPosition="0"/>
    </format>
    <format dxfId="104">
      <pivotArea dataOnly="0" labelOnly="1" outline="0" axis="axisValues" fieldPosition="0"/>
    </format>
    <format dxfId="103">
      <pivotArea type="all" dataOnly="0" outline="0" fieldPosition="0"/>
    </format>
    <format dxfId="102">
      <pivotArea outline="0" collapsedLevelsAreSubtotals="1" fieldPosition="0"/>
    </format>
    <format dxfId="101">
      <pivotArea field="4" type="button" dataOnly="0" labelOnly="1" outline="0" axis="axisRow" fieldPosition="0"/>
    </format>
    <format dxfId="100">
      <pivotArea dataOnly="0" labelOnly="1" fieldPosition="0">
        <references count="1">
          <reference field="4" count="0"/>
        </references>
      </pivotArea>
    </format>
    <format dxfId="99">
      <pivotArea dataOnly="0" labelOnly="1" grandRow="1" outline="0" fieldPosition="0"/>
    </format>
    <format dxfId="98">
      <pivotArea dataOnly="0" labelOnly="1" outline="0" axis="axisValues" fieldPosition="0"/>
    </format>
  </formats>
  <chartFormats count="8">
    <chartFormat chart="0" format="0" series="1">
      <pivotArea type="data" outline="0" fieldPosition="0">
        <references count="1">
          <reference field="4294967294" count="1" selected="0">
            <x v="0"/>
          </reference>
        </references>
      </pivotArea>
    </chartFormat>
    <chartFormat chart="34" format="12" series="1">
      <pivotArea type="data" outline="0" fieldPosition="0">
        <references count="1">
          <reference field="4294967294" count="1" selected="0">
            <x v="0"/>
          </reference>
        </references>
      </pivotArea>
    </chartFormat>
    <chartFormat chart="34" format="13">
      <pivotArea type="data" outline="0" fieldPosition="0">
        <references count="2">
          <reference field="4294967294" count="1" selected="0">
            <x v="0"/>
          </reference>
          <reference field="4" count="1" selected="0">
            <x v="0"/>
          </reference>
        </references>
      </pivotArea>
    </chartFormat>
    <chartFormat chart="34" format="14">
      <pivotArea type="data" outline="0" fieldPosition="0">
        <references count="2">
          <reference field="4294967294" count="1" selected="0">
            <x v="0"/>
          </reference>
          <reference field="4" count="1" selected="0">
            <x v="1"/>
          </reference>
        </references>
      </pivotArea>
    </chartFormat>
    <chartFormat chart="34" format="15">
      <pivotArea type="data" outline="0" fieldPosition="0">
        <references count="2">
          <reference field="4294967294" count="1" selected="0">
            <x v="0"/>
          </reference>
          <reference field="4" count="1" selected="0">
            <x v="2"/>
          </reference>
        </references>
      </pivotArea>
    </chartFormat>
    <chartFormat chart="34" format="16">
      <pivotArea type="data" outline="0" fieldPosition="0">
        <references count="2">
          <reference field="4294967294" count="1" selected="0">
            <x v="0"/>
          </reference>
          <reference field="4" count="1" selected="0">
            <x v="3"/>
          </reference>
        </references>
      </pivotArea>
    </chartFormat>
    <chartFormat chart="34" format="17">
      <pivotArea type="data" outline="0" fieldPosition="0">
        <references count="2">
          <reference field="4294967294" count="1" selected="0">
            <x v="0"/>
          </reference>
          <reference field="4" count="1" selected="0">
            <x v="4"/>
          </reference>
        </references>
      </pivotArea>
    </chartFormat>
    <chartFormat chart="34" format="18">
      <pivotArea type="data" outline="0" fieldPosition="0">
        <references count="2">
          <reference field="4294967294" count="1" selected="0">
            <x v="0"/>
          </reference>
          <reference field="4" count="1" selected="0">
            <x v="5"/>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ontinent" xr10:uid="{FA201B7C-0111-4B2D-8E90-DF4996E3ABAF}" sourceName="Continent">
  <pivotTables>
    <pivotTable tabId="3" name="PivotTable2"/>
    <pivotTable tabId="3" name="PivotTable4"/>
    <pivotTable tabId="3" name="PivotTable5"/>
    <pivotTable tabId="3" name="hi"/>
  </pivotTables>
  <data>
    <tabular pivotCacheId="1429799907" showMissing="0" crossFilter="showItemsWithNoData">
      <items count="6">
        <i x="2" s="1"/>
        <i x="0" s="1"/>
        <i x="1" s="1"/>
        <i x="4" s="1"/>
        <i x="3"/>
        <i x="5"/>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ontinent" xr10:uid="{BC06FE16-F5DE-444E-9A41-7DDB3668F1D7}" cache="Slicer_Continent" caption="Continent" columnCount="3" showCaption="0" style="Slicer Style 3"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9224A9C5-0650-4E71-9814-4603B4960049}" name="data" displayName="data" ref="B1:R235" totalsRowShown="0">
  <autoFilter ref="B1:R235" xr:uid="{9224A9C5-0650-4E71-9814-4603B4960049}"/>
  <tableColumns count="17">
    <tableColumn id="1" xr3:uid="{5F2F5013-FAEB-4D70-9BD2-CE0C9828E73F}" name="Rank"/>
    <tableColumn id="2" xr3:uid="{E4503864-2668-49DA-BFA8-CBF69AF6C16B}" name="CCA3"/>
    <tableColumn id="3" xr3:uid="{27F39BAF-0F6E-4BA4-81AD-7C98DDD50676}" name="Country/Territory"/>
    <tableColumn id="4" xr3:uid="{2E1F9656-1B12-4657-86EE-E71951D6EA47}" name="Capital"/>
    <tableColumn id="5" xr3:uid="{4A723091-7DFA-4803-B57D-DBA4A44D7F4D}" name="Continent"/>
    <tableColumn id="6" xr3:uid="{82BB47E3-77BF-4CD4-832A-AD9ECFC36247}" name="2022 Population" dataDxfId="124"/>
    <tableColumn id="7" xr3:uid="{9665FD88-1418-4CB3-A227-EBB3925D087E}" name="2020 Population" dataDxfId="123"/>
    <tableColumn id="8" xr3:uid="{F670EA03-2249-4D1F-A36E-6A46CC9C9DEE}" name="2015 Population" dataDxfId="122"/>
    <tableColumn id="9" xr3:uid="{898C531A-3D80-4289-A1A1-83680B797D8B}" name="2010 Population" dataDxfId="121"/>
    <tableColumn id="10" xr3:uid="{030E2FE3-E939-41DC-B16A-90BE9DA1B545}" name="2000 Population" dataDxfId="120"/>
    <tableColumn id="11" xr3:uid="{A7DDA882-2B07-41F4-8CF4-9685322FF761}" name="1990 Population" dataDxfId="119"/>
    <tableColumn id="12" xr3:uid="{504A2C62-A731-44A7-880D-767D2C247429}" name="1980 Population" dataDxfId="118"/>
    <tableColumn id="13" xr3:uid="{278EA212-FD10-4454-BC19-A87262998BB4}" name="1970 Population" dataDxfId="117"/>
    <tableColumn id="14" xr3:uid="{C603AB43-F4F3-48C1-82B5-7B4B42B54BF6}" name="Area (kmÂ²)" dataDxfId="116"/>
    <tableColumn id="15" xr3:uid="{D54413C5-350C-46AF-817A-C55D55AFD399}" name="Density (per kmÂ²)" dataCellStyle="Comma"/>
    <tableColumn id="16" xr3:uid="{A7A90E6E-1E65-4F24-B6B1-D8962AA97DC4}" name="Growth Rate" dataCellStyle="Comma"/>
    <tableColumn id="17" xr3:uid="{C3F388EB-2944-4AEC-A9FD-AD107C0D3D15}" name="World Population Percentage"/>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pivotTable" Target="../pivotTables/pivotTable3.xml"/><Relationship Id="rId7" Type="http://schemas.openxmlformats.org/officeDocument/2006/relationships/drawing" Target="../drawings/drawing2.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rinterSettings" Target="../printerSettings/printerSettings1.bin"/><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_rels/sheet4.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9EB05D-D6D0-47C9-9206-5B1B9F2487AA}">
  <sheetPr codeName="Sheet2"/>
  <dimension ref="A1:Q235"/>
  <sheetViews>
    <sheetView workbookViewId="0">
      <selection activeCell="R8" sqref="R8"/>
    </sheetView>
  </sheetViews>
  <sheetFormatPr defaultRowHeight="14.5" x14ac:dyDescent="0.35"/>
  <sheetData>
    <row r="1" spans="1:17" x14ac:dyDescent="0.35">
      <c r="A1" t="s">
        <v>0</v>
      </c>
      <c r="B1" t="s">
        <v>1</v>
      </c>
      <c r="C1" t="s">
        <v>2</v>
      </c>
      <c r="D1" t="s">
        <v>3</v>
      </c>
      <c r="E1" t="s">
        <v>4</v>
      </c>
      <c r="F1" t="s">
        <v>5</v>
      </c>
      <c r="G1" t="s">
        <v>6</v>
      </c>
      <c r="H1" t="s">
        <v>7</v>
      </c>
      <c r="I1" t="s">
        <v>8</v>
      </c>
      <c r="J1" t="s">
        <v>9</v>
      </c>
      <c r="K1" t="s">
        <v>10</v>
      </c>
      <c r="L1" t="s">
        <v>11</v>
      </c>
      <c r="M1" t="s">
        <v>12</v>
      </c>
      <c r="N1" t="s">
        <v>13</v>
      </c>
      <c r="O1" t="s">
        <v>14</v>
      </c>
      <c r="P1" t="s">
        <v>15</v>
      </c>
      <c r="Q1" t="s">
        <v>16</v>
      </c>
    </row>
    <row r="2" spans="1:17" x14ac:dyDescent="0.35">
      <c r="A2">
        <v>36</v>
      </c>
      <c r="B2" t="s">
        <v>17</v>
      </c>
      <c r="C2" t="s">
        <v>18</v>
      </c>
      <c r="D2" t="s">
        <v>19</v>
      </c>
      <c r="E2" t="s">
        <v>20</v>
      </c>
      <c r="F2">
        <v>41128771</v>
      </c>
      <c r="G2">
        <v>38972230</v>
      </c>
      <c r="H2">
        <v>33753499</v>
      </c>
      <c r="I2">
        <v>28189672</v>
      </c>
      <c r="J2">
        <v>19542982</v>
      </c>
      <c r="K2">
        <v>10694796</v>
      </c>
      <c r="L2">
        <v>12486631</v>
      </c>
      <c r="M2">
        <v>10752971</v>
      </c>
      <c r="N2">
        <v>652230</v>
      </c>
      <c r="O2">
        <v>63.058700000000002</v>
      </c>
      <c r="P2">
        <v>1.0257000000000001</v>
      </c>
      <c r="Q2">
        <v>0.52</v>
      </c>
    </row>
    <row r="3" spans="1:17" x14ac:dyDescent="0.35">
      <c r="A3">
        <v>138</v>
      </c>
      <c r="B3" t="s">
        <v>21</v>
      </c>
      <c r="C3" t="s">
        <v>22</v>
      </c>
      <c r="D3" t="s">
        <v>23</v>
      </c>
      <c r="E3" t="s">
        <v>24</v>
      </c>
      <c r="F3">
        <v>2842321</v>
      </c>
      <c r="G3">
        <v>2866849</v>
      </c>
      <c r="H3">
        <v>2882481</v>
      </c>
      <c r="I3">
        <v>2913399</v>
      </c>
      <c r="J3">
        <v>3182021</v>
      </c>
      <c r="K3">
        <v>3295066</v>
      </c>
      <c r="L3">
        <v>2941651</v>
      </c>
      <c r="M3">
        <v>2324731</v>
      </c>
      <c r="N3">
        <v>28748</v>
      </c>
      <c r="O3">
        <v>98.870199999999997</v>
      </c>
      <c r="P3">
        <v>0.99570000000000003</v>
      </c>
      <c r="Q3">
        <v>0.04</v>
      </c>
    </row>
    <row r="4" spans="1:17" x14ac:dyDescent="0.35">
      <c r="A4">
        <v>34</v>
      </c>
      <c r="B4" t="s">
        <v>25</v>
      </c>
      <c r="C4" t="s">
        <v>26</v>
      </c>
      <c r="D4" t="s">
        <v>27</v>
      </c>
      <c r="E4" t="s">
        <v>28</v>
      </c>
      <c r="F4">
        <v>44903225</v>
      </c>
      <c r="G4">
        <v>43451666</v>
      </c>
      <c r="H4">
        <v>39543154</v>
      </c>
      <c r="I4">
        <v>35856344</v>
      </c>
      <c r="J4">
        <v>30774621</v>
      </c>
      <c r="K4">
        <v>25518074</v>
      </c>
      <c r="L4">
        <v>18739378</v>
      </c>
      <c r="M4">
        <v>13795915</v>
      </c>
      <c r="N4">
        <v>2381741</v>
      </c>
      <c r="O4">
        <v>18.853100000000001</v>
      </c>
      <c r="P4">
        <v>1.0164</v>
      </c>
      <c r="Q4">
        <v>0.56000000000000005</v>
      </c>
    </row>
    <row r="5" spans="1:17" x14ac:dyDescent="0.35">
      <c r="A5">
        <v>213</v>
      </c>
      <c r="B5" t="s">
        <v>29</v>
      </c>
      <c r="C5" t="s">
        <v>30</v>
      </c>
      <c r="D5" t="s">
        <v>31</v>
      </c>
      <c r="E5" t="s">
        <v>32</v>
      </c>
      <c r="F5">
        <v>44273</v>
      </c>
      <c r="G5">
        <v>46189</v>
      </c>
      <c r="H5">
        <v>51368</v>
      </c>
      <c r="I5">
        <v>54849</v>
      </c>
      <c r="J5">
        <v>58230</v>
      </c>
      <c r="K5">
        <v>47818</v>
      </c>
      <c r="L5">
        <v>32886</v>
      </c>
      <c r="M5">
        <v>27075</v>
      </c>
      <c r="N5">
        <v>199</v>
      </c>
      <c r="O5">
        <v>222.47739999999999</v>
      </c>
      <c r="P5">
        <v>0.98309999999999997</v>
      </c>
      <c r="Q5">
        <v>0</v>
      </c>
    </row>
    <row r="6" spans="1:17" x14ac:dyDescent="0.35">
      <c r="A6">
        <v>203</v>
      </c>
      <c r="B6" t="s">
        <v>33</v>
      </c>
      <c r="C6" t="s">
        <v>34</v>
      </c>
      <c r="D6" t="s">
        <v>35</v>
      </c>
      <c r="E6" t="s">
        <v>24</v>
      </c>
      <c r="F6">
        <v>79824</v>
      </c>
      <c r="G6">
        <v>77700</v>
      </c>
      <c r="H6">
        <v>71746</v>
      </c>
      <c r="I6">
        <v>71519</v>
      </c>
      <c r="J6">
        <v>66097</v>
      </c>
      <c r="K6">
        <v>53569</v>
      </c>
      <c r="L6">
        <v>35611</v>
      </c>
      <c r="M6">
        <v>19860</v>
      </c>
      <c r="N6">
        <v>468</v>
      </c>
      <c r="O6">
        <v>170.5641</v>
      </c>
      <c r="P6">
        <v>1.01</v>
      </c>
      <c r="Q6">
        <v>0</v>
      </c>
    </row>
    <row r="7" spans="1:17" x14ac:dyDescent="0.35">
      <c r="A7">
        <v>42</v>
      </c>
      <c r="B7" t="s">
        <v>36</v>
      </c>
      <c r="C7" t="s">
        <v>37</v>
      </c>
      <c r="D7" t="s">
        <v>38</v>
      </c>
      <c r="E7" t="s">
        <v>28</v>
      </c>
      <c r="F7">
        <v>35588987</v>
      </c>
      <c r="G7">
        <v>33428485</v>
      </c>
      <c r="H7">
        <v>28127721</v>
      </c>
      <c r="I7">
        <v>23364185</v>
      </c>
      <c r="J7">
        <v>16394062</v>
      </c>
      <c r="K7">
        <v>11828638</v>
      </c>
      <c r="L7">
        <v>8330047</v>
      </c>
      <c r="M7">
        <v>6029700</v>
      </c>
      <c r="N7">
        <v>1246700</v>
      </c>
      <c r="O7">
        <v>28.546600000000002</v>
      </c>
      <c r="P7">
        <v>1.0315000000000001</v>
      </c>
      <c r="Q7">
        <v>0.45</v>
      </c>
    </row>
    <row r="8" spans="1:17" x14ac:dyDescent="0.35">
      <c r="A8">
        <v>224</v>
      </c>
      <c r="B8" t="s">
        <v>39</v>
      </c>
      <c r="C8" t="s">
        <v>40</v>
      </c>
      <c r="D8" t="s">
        <v>41</v>
      </c>
      <c r="E8" t="s">
        <v>42</v>
      </c>
      <c r="F8">
        <v>15857</v>
      </c>
      <c r="G8">
        <v>15585</v>
      </c>
      <c r="H8">
        <v>14525</v>
      </c>
      <c r="I8">
        <v>13172</v>
      </c>
      <c r="J8">
        <v>11047</v>
      </c>
      <c r="K8">
        <v>8316</v>
      </c>
      <c r="L8">
        <v>6560</v>
      </c>
      <c r="M8">
        <v>6283</v>
      </c>
      <c r="N8">
        <v>91</v>
      </c>
      <c r="O8">
        <v>174.2527</v>
      </c>
      <c r="P8">
        <v>1.0065999999999999</v>
      </c>
      <c r="Q8">
        <v>0</v>
      </c>
    </row>
    <row r="9" spans="1:17" x14ac:dyDescent="0.35">
      <c r="A9">
        <v>201</v>
      </c>
      <c r="B9" t="s">
        <v>43</v>
      </c>
      <c r="C9" t="s">
        <v>44</v>
      </c>
      <c r="D9" t="s">
        <v>45</v>
      </c>
      <c r="E9" t="s">
        <v>42</v>
      </c>
      <c r="F9">
        <v>93763</v>
      </c>
      <c r="G9">
        <v>92664</v>
      </c>
      <c r="H9">
        <v>89941</v>
      </c>
      <c r="I9">
        <v>85695</v>
      </c>
      <c r="J9">
        <v>75055</v>
      </c>
      <c r="K9">
        <v>63328</v>
      </c>
      <c r="L9">
        <v>64888</v>
      </c>
      <c r="M9">
        <v>64516</v>
      </c>
      <c r="N9">
        <v>442</v>
      </c>
      <c r="O9">
        <v>212.1335</v>
      </c>
      <c r="P9">
        <v>1.0058</v>
      </c>
      <c r="Q9">
        <v>0</v>
      </c>
    </row>
    <row r="10" spans="1:17" x14ac:dyDescent="0.35">
      <c r="A10">
        <v>33</v>
      </c>
      <c r="B10" t="s">
        <v>46</v>
      </c>
      <c r="C10" t="s">
        <v>47</v>
      </c>
      <c r="D10" t="s">
        <v>48</v>
      </c>
      <c r="E10" t="s">
        <v>49</v>
      </c>
      <c r="F10">
        <v>45510318</v>
      </c>
      <c r="G10">
        <v>45036032</v>
      </c>
      <c r="H10">
        <v>43257065</v>
      </c>
      <c r="I10">
        <v>41100123</v>
      </c>
      <c r="J10">
        <v>37070774</v>
      </c>
      <c r="K10">
        <v>32637657</v>
      </c>
      <c r="L10">
        <v>28024803</v>
      </c>
      <c r="M10">
        <v>23842803</v>
      </c>
      <c r="N10">
        <v>2780400</v>
      </c>
      <c r="O10">
        <v>16.368300000000001</v>
      </c>
      <c r="P10">
        <v>1.0052000000000001</v>
      </c>
      <c r="Q10">
        <v>0.56999999999999995</v>
      </c>
    </row>
    <row r="11" spans="1:17" x14ac:dyDescent="0.35">
      <c r="A11">
        <v>140</v>
      </c>
      <c r="B11" t="s">
        <v>50</v>
      </c>
      <c r="C11" t="s">
        <v>51</v>
      </c>
      <c r="D11" t="s">
        <v>52</v>
      </c>
      <c r="E11" t="s">
        <v>20</v>
      </c>
      <c r="F11">
        <v>2780469</v>
      </c>
      <c r="G11">
        <v>2805608</v>
      </c>
      <c r="H11">
        <v>2878595</v>
      </c>
      <c r="I11">
        <v>2946293</v>
      </c>
      <c r="J11">
        <v>3168523</v>
      </c>
      <c r="K11">
        <v>3556539</v>
      </c>
      <c r="L11">
        <v>3135123</v>
      </c>
      <c r="M11">
        <v>2534377</v>
      </c>
      <c r="N11">
        <v>29743</v>
      </c>
      <c r="O11">
        <v>93.483099999999993</v>
      </c>
      <c r="P11">
        <v>0.99619999999999997</v>
      </c>
      <c r="Q11">
        <v>0.03</v>
      </c>
    </row>
    <row r="12" spans="1:17" x14ac:dyDescent="0.35">
      <c r="A12">
        <v>198</v>
      </c>
      <c r="B12" t="s">
        <v>53</v>
      </c>
      <c r="C12" t="s">
        <v>54</v>
      </c>
      <c r="D12" t="s">
        <v>55</v>
      </c>
      <c r="E12" t="s">
        <v>42</v>
      </c>
      <c r="F12">
        <v>106445</v>
      </c>
      <c r="G12">
        <v>106585</v>
      </c>
      <c r="H12">
        <v>104257</v>
      </c>
      <c r="I12">
        <v>100341</v>
      </c>
      <c r="J12">
        <v>89101</v>
      </c>
      <c r="K12">
        <v>65712</v>
      </c>
      <c r="L12">
        <v>62267</v>
      </c>
      <c r="M12">
        <v>59106</v>
      </c>
      <c r="N12">
        <v>180</v>
      </c>
      <c r="O12">
        <v>591.36109999999996</v>
      </c>
      <c r="P12">
        <v>0.99909999999999999</v>
      </c>
      <c r="Q12">
        <v>0</v>
      </c>
    </row>
    <row r="13" spans="1:17" x14ac:dyDescent="0.35">
      <c r="A13">
        <v>55</v>
      </c>
      <c r="B13" t="s">
        <v>56</v>
      </c>
      <c r="C13" t="s">
        <v>57</v>
      </c>
      <c r="D13" t="s">
        <v>58</v>
      </c>
      <c r="E13" t="s">
        <v>32</v>
      </c>
      <c r="F13">
        <v>26177413</v>
      </c>
      <c r="G13">
        <v>25670051</v>
      </c>
      <c r="H13">
        <v>23820236</v>
      </c>
      <c r="I13">
        <v>22019168</v>
      </c>
      <c r="J13">
        <v>19017963</v>
      </c>
      <c r="K13">
        <v>17048003</v>
      </c>
      <c r="L13">
        <v>14706322</v>
      </c>
      <c r="M13">
        <v>12595034</v>
      </c>
      <c r="N13">
        <v>7692024</v>
      </c>
      <c r="O13">
        <v>3.4032</v>
      </c>
      <c r="P13">
        <v>1.0099</v>
      </c>
      <c r="Q13">
        <v>0.33</v>
      </c>
    </row>
    <row r="14" spans="1:17" x14ac:dyDescent="0.35">
      <c r="A14">
        <v>99</v>
      </c>
      <c r="B14" t="s">
        <v>59</v>
      </c>
      <c r="C14" t="s">
        <v>60</v>
      </c>
      <c r="D14" t="s">
        <v>61</v>
      </c>
      <c r="E14" t="s">
        <v>24</v>
      </c>
      <c r="F14">
        <v>8939617</v>
      </c>
      <c r="G14">
        <v>8907777</v>
      </c>
      <c r="H14">
        <v>8642421</v>
      </c>
      <c r="I14">
        <v>8362829</v>
      </c>
      <c r="J14">
        <v>8010428</v>
      </c>
      <c r="K14">
        <v>7678729</v>
      </c>
      <c r="L14">
        <v>7547561</v>
      </c>
      <c r="M14">
        <v>7465301</v>
      </c>
      <c r="N14">
        <v>83871</v>
      </c>
      <c r="O14">
        <v>106.5877</v>
      </c>
      <c r="P14">
        <v>1.002</v>
      </c>
      <c r="Q14">
        <v>0.11</v>
      </c>
    </row>
    <row r="15" spans="1:17" x14ac:dyDescent="0.35">
      <c r="A15">
        <v>91</v>
      </c>
      <c r="B15" t="s">
        <v>62</v>
      </c>
      <c r="C15" t="s">
        <v>63</v>
      </c>
      <c r="D15" t="s">
        <v>64</v>
      </c>
      <c r="E15" t="s">
        <v>20</v>
      </c>
      <c r="F15">
        <v>10358074</v>
      </c>
      <c r="G15">
        <v>10284951</v>
      </c>
      <c r="H15">
        <v>9863480</v>
      </c>
      <c r="I15">
        <v>9237202</v>
      </c>
      <c r="J15">
        <v>8190337</v>
      </c>
      <c r="K15">
        <v>7427836</v>
      </c>
      <c r="L15">
        <v>6383060</v>
      </c>
      <c r="M15">
        <v>5425317</v>
      </c>
      <c r="N15">
        <v>86600</v>
      </c>
      <c r="O15">
        <v>119.6082</v>
      </c>
      <c r="P15">
        <v>1.0044</v>
      </c>
      <c r="Q15">
        <v>0.13</v>
      </c>
    </row>
    <row r="16" spans="1:17" x14ac:dyDescent="0.35">
      <c r="A16">
        <v>176</v>
      </c>
      <c r="B16" t="s">
        <v>65</v>
      </c>
      <c r="C16" t="s">
        <v>66</v>
      </c>
      <c r="D16" t="s">
        <v>67</v>
      </c>
      <c r="E16" t="s">
        <v>42</v>
      </c>
      <c r="F16">
        <v>409984</v>
      </c>
      <c r="G16">
        <v>406471</v>
      </c>
      <c r="H16">
        <v>392697</v>
      </c>
      <c r="I16">
        <v>373272</v>
      </c>
      <c r="J16">
        <v>325014</v>
      </c>
      <c r="K16">
        <v>270679</v>
      </c>
      <c r="L16">
        <v>223752</v>
      </c>
      <c r="M16">
        <v>179129</v>
      </c>
      <c r="N16">
        <v>13943</v>
      </c>
      <c r="O16">
        <v>29.404299999999999</v>
      </c>
      <c r="P16">
        <v>1.0051000000000001</v>
      </c>
      <c r="Q16">
        <v>0.01</v>
      </c>
    </row>
    <row r="17" spans="1:17" x14ac:dyDescent="0.35">
      <c r="A17">
        <v>154</v>
      </c>
      <c r="B17" t="s">
        <v>68</v>
      </c>
      <c r="C17" t="s">
        <v>69</v>
      </c>
      <c r="D17" t="s">
        <v>70</v>
      </c>
      <c r="E17" t="s">
        <v>20</v>
      </c>
      <c r="F17">
        <v>1472233</v>
      </c>
      <c r="G17">
        <v>1477469</v>
      </c>
      <c r="H17">
        <v>1362142</v>
      </c>
      <c r="I17">
        <v>1213645</v>
      </c>
      <c r="J17">
        <v>711442</v>
      </c>
      <c r="K17">
        <v>517418</v>
      </c>
      <c r="L17">
        <v>362595</v>
      </c>
      <c r="M17">
        <v>222555</v>
      </c>
      <c r="N17">
        <v>765</v>
      </c>
      <c r="O17">
        <v>1924.4875999999999</v>
      </c>
      <c r="P17">
        <v>1.0061</v>
      </c>
      <c r="Q17">
        <v>0.02</v>
      </c>
    </row>
    <row r="18" spans="1:17" x14ac:dyDescent="0.35">
      <c r="A18">
        <v>8</v>
      </c>
      <c r="B18" t="s">
        <v>71</v>
      </c>
      <c r="C18" t="s">
        <v>72</v>
      </c>
      <c r="D18" t="s">
        <v>73</v>
      </c>
      <c r="E18" t="s">
        <v>20</v>
      </c>
      <c r="F18">
        <v>171186372</v>
      </c>
      <c r="G18">
        <v>167420951</v>
      </c>
      <c r="H18">
        <v>157830000</v>
      </c>
      <c r="I18">
        <v>148391139</v>
      </c>
      <c r="J18">
        <v>129193327</v>
      </c>
      <c r="K18">
        <v>107147651</v>
      </c>
      <c r="L18">
        <v>83929765</v>
      </c>
      <c r="M18">
        <v>67541860</v>
      </c>
      <c r="N18">
        <v>147570</v>
      </c>
      <c r="O18">
        <v>1160.0350000000001</v>
      </c>
      <c r="P18">
        <v>1.0107999999999999</v>
      </c>
      <c r="Q18">
        <v>2.15</v>
      </c>
    </row>
    <row r="19" spans="1:17" x14ac:dyDescent="0.35">
      <c r="A19">
        <v>186</v>
      </c>
      <c r="B19" t="s">
        <v>74</v>
      </c>
      <c r="C19" t="s">
        <v>75</v>
      </c>
      <c r="D19" t="s">
        <v>76</v>
      </c>
      <c r="E19" t="s">
        <v>42</v>
      </c>
      <c r="F19">
        <v>281635</v>
      </c>
      <c r="G19">
        <v>280693</v>
      </c>
      <c r="H19">
        <v>278083</v>
      </c>
      <c r="I19">
        <v>274711</v>
      </c>
      <c r="J19">
        <v>264657</v>
      </c>
      <c r="K19">
        <v>258868</v>
      </c>
      <c r="L19">
        <v>253575</v>
      </c>
      <c r="M19">
        <v>241397</v>
      </c>
      <c r="N19">
        <v>430</v>
      </c>
      <c r="O19">
        <v>654.96510000000001</v>
      </c>
      <c r="P19">
        <v>1.0015000000000001</v>
      </c>
      <c r="Q19">
        <v>0</v>
      </c>
    </row>
    <row r="20" spans="1:17" x14ac:dyDescent="0.35">
      <c r="A20">
        <v>96</v>
      </c>
      <c r="B20" t="s">
        <v>77</v>
      </c>
      <c r="C20" t="s">
        <v>78</v>
      </c>
      <c r="D20" t="s">
        <v>79</v>
      </c>
      <c r="E20" t="s">
        <v>24</v>
      </c>
      <c r="F20">
        <v>9534954</v>
      </c>
      <c r="G20">
        <v>9633740</v>
      </c>
      <c r="H20">
        <v>9700609</v>
      </c>
      <c r="I20">
        <v>9731427</v>
      </c>
      <c r="J20">
        <v>10256483</v>
      </c>
      <c r="K20">
        <v>10428525</v>
      </c>
      <c r="L20">
        <v>9817257</v>
      </c>
      <c r="M20">
        <v>9170786</v>
      </c>
      <c r="N20">
        <v>207600</v>
      </c>
      <c r="O20">
        <v>45.929499999999997</v>
      </c>
      <c r="P20">
        <v>0.99550000000000005</v>
      </c>
      <c r="Q20">
        <v>0.12</v>
      </c>
    </row>
    <row r="21" spans="1:17" x14ac:dyDescent="0.35">
      <c r="A21">
        <v>81</v>
      </c>
      <c r="B21" t="s">
        <v>80</v>
      </c>
      <c r="C21" t="s">
        <v>81</v>
      </c>
      <c r="D21" t="s">
        <v>82</v>
      </c>
      <c r="E21" t="s">
        <v>24</v>
      </c>
      <c r="F21">
        <v>11655930</v>
      </c>
      <c r="G21">
        <v>11561717</v>
      </c>
      <c r="H21">
        <v>11248303</v>
      </c>
      <c r="I21">
        <v>10877947</v>
      </c>
      <c r="J21">
        <v>10264343</v>
      </c>
      <c r="K21">
        <v>9959560</v>
      </c>
      <c r="L21">
        <v>9828986</v>
      </c>
      <c r="M21">
        <v>9629376</v>
      </c>
      <c r="N21">
        <v>30528</v>
      </c>
      <c r="O21">
        <v>381.81110000000001</v>
      </c>
      <c r="P21">
        <v>1.0038</v>
      </c>
      <c r="Q21">
        <v>0.15</v>
      </c>
    </row>
    <row r="22" spans="1:17" x14ac:dyDescent="0.35">
      <c r="A22">
        <v>177</v>
      </c>
      <c r="B22" t="s">
        <v>83</v>
      </c>
      <c r="C22" t="s">
        <v>84</v>
      </c>
      <c r="D22" t="s">
        <v>85</v>
      </c>
      <c r="E22" t="s">
        <v>42</v>
      </c>
      <c r="F22">
        <v>405272</v>
      </c>
      <c r="G22">
        <v>394921</v>
      </c>
      <c r="H22">
        <v>359871</v>
      </c>
      <c r="I22">
        <v>322106</v>
      </c>
      <c r="J22">
        <v>240406</v>
      </c>
      <c r="K22">
        <v>182589</v>
      </c>
      <c r="L22">
        <v>145133</v>
      </c>
      <c r="M22">
        <v>120905</v>
      </c>
      <c r="N22">
        <v>22966</v>
      </c>
      <c r="O22">
        <v>17.646599999999999</v>
      </c>
      <c r="P22">
        <v>1.0130999999999999</v>
      </c>
      <c r="Q22">
        <v>0.01</v>
      </c>
    </row>
    <row r="23" spans="1:17" x14ac:dyDescent="0.35">
      <c r="A23">
        <v>77</v>
      </c>
      <c r="B23" t="s">
        <v>86</v>
      </c>
      <c r="C23" t="s">
        <v>87</v>
      </c>
      <c r="D23" t="s">
        <v>88</v>
      </c>
      <c r="E23" t="s">
        <v>28</v>
      </c>
      <c r="F23">
        <v>13352864</v>
      </c>
      <c r="G23">
        <v>12643123</v>
      </c>
      <c r="H23">
        <v>10932783</v>
      </c>
      <c r="I23">
        <v>9445710</v>
      </c>
      <c r="J23">
        <v>6998023</v>
      </c>
      <c r="K23">
        <v>5133419</v>
      </c>
      <c r="L23">
        <v>3833939</v>
      </c>
      <c r="M23">
        <v>3023443</v>
      </c>
      <c r="N23">
        <v>112622</v>
      </c>
      <c r="O23">
        <v>118.5635</v>
      </c>
      <c r="P23">
        <v>1.0274000000000001</v>
      </c>
      <c r="Q23">
        <v>0.17</v>
      </c>
    </row>
    <row r="24" spans="1:17" x14ac:dyDescent="0.35">
      <c r="A24">
        <v>206</v>
      </c>
      <c r="B24" t="s">
        <v>89</v>
      </c>
      <c r="C24" t="s">
        <v>90</v>
      </c>
      <c r="D24" t="s">
        <v>91</v>
      </c>
      <c r="E24" t="s">
        <v>42</v>
      </c>
      <c r="F24">
        <v>64184</v>
      </c>
      <c r="G24">
        <v>64031</v>
      </c>
      <c r="H24">
        <v>63144</v>
      </c>
      <c r="I24">
        <v>63447</v>
      </c>
      <c r="J24">
        <v>61371</v>
      </c>
      <c r="K24">
        <v>57470</v>
      </c>
      <c r="L24">
        <v>53565</v>
      </c>
      <c r="M24">
        <v>52019</v>
      </c>
      <c r="N24">
        <v>54</v>
      </c>
      <c r="O24">
        <v>1188.5925999999999</v>
      </c>
      <c r="P24">
        <v>1</v>
      </c>
      <c r="Q24">
        <v>0</v>
      </c>
    </row>
    <row r="25" spans="1:17" x14ac:dyDescent="0.35">
      <c r="A25">
        <v>165</v>
      </c>
      <c r="B25" t="s">
        <v>92</v>
      </c>
      <c r="C25" t="s">
        <v>93</v>
      </c>
      <c r="D25" t="s">
        <v>94</v>
      </c>
      <c r="E25" t="s">
        <v>20</v>
      </c>
      <c r="F25">
        <v>782455</v>
      </c>
      <c r="G25">
        <v>772506</v>
      </c>
      <c r="H25">
        <v>743274</v>
      </c>
      <c r="I25">
        <v>705516</v>
      </c>
      <c r="J25">
        <v>587207</v>
      </c>
      <c r="K25">
        <v>558442</v>
      </c>
      <c r="L25">
        <v>415257</v>
      </c>
      <c r="M25">
        <v>298894</v>
      </c>
      <c r="N25">
        <v>38394</v>
      </c>
      <c r="O25">
        <v>20.3796</v>
      </c>
      <c r="P25">
        <v>1.0064</v>
      </c>
      <c r="Q25">
        <v>0.01</v>
      </c>
    </row>
    <row r="26" spans="1:17" x14ac:dyDescent="0.35">
      <c r="A26">
        <v>80</v>
      </c>
      <c r="B26" t="s">
        <v>95</v>
      </c>
      <c r="C26" t="s">
        <v>96</v>
      </c>
      <c r="D26" t="s">
        <v>97</v>
      </c>
      <c r="E26" t="s">
        <v>49</v>
      </c>
      <c r="F26">
        <v>12224110</v>
      </c>
      <c r="G26">
        <v>11936162</v>
      </c>
      <c r="H26">
        <v>11090085</v>
      </c>
      <c r="I26">
        <v>10223270</v>
      </c>
      <c r="J26">
        <v>8592656</v>
      </c>
      <c r="K26">
        <v>7096194</v>
      </c>
      <c r="L26">
        <v>5736088</v>
      </c>
      <c r="M26">
        <v>4585693</v>
      </c>
      <c r="N26">
        <v>1098581</v>
      </c>
      <c r="O26">
        <v>11.1272</v>
      </c>
      <c r="P26">
        <v>1.012</v>
      </c>
      <c r="Q26">
        <v>0.15</v>
      </c>
    </row>
    <row r="27" spans="1:17" x14ac:dyDescent="0.35">
      <c r="A27">
        <v>137</v>
      </c>
      <c r="B27" t="s">
        <v>98</v>
      </c>
      <c r="C27" t="s">
        <v>99</v>
      </c>
      <c r="D27" t="s">
        <v>100</v>
      </c>
      <c r="E27" t="s">
        <v>24</v>
      </c>
      <c r="F27">
        <v>3233526</v>
      </c>
      <c r="G27">
        <v>3318407</v>
      </c>
      <c r="H27">
        <v>3524324</v>
      </c>
      <c r="I27">
        <v>3811088</v>
      </c>
      <c r="J27">
        <v>4179350</v>
      </c>
      <c r="K27">
        <v>4494310</v>
      </c>
      <c r="L27">
        <v>4199820</v>
      </c>
      <c r="M27">
        <v>3815561</v>
      </c>
      <c r="N27">
        <v>51209</v>
      </c>
      <c r="O27">
        <v>63.143700000000003</v>
      </c>
      <c r="P27">
        <v>0.98860000000000003</v>
      </c>
      <c r="Q27">
        <v>0.04</v>
      </c>
    </row>
    <row r="28" spans="1:17" x14ac:dyDescent="0.35">
      <c r="A28">
        <v>144</v>
      </c>
      <c r="B28" t="s">
        <v>101</v>
      </c>
      <c r="C28" t="s">
        <v>102</v>
      </c>
      <c r="D28" t="s">
        <v>103</v>
      </c>
      <c r="E28" t="s">
        <v>28</v>
      </c>
      <c r="F28">
        <v>2630296</v>
      </c>
      <c r="G28">
        <v>2546402</v>
      </c>
      <c r="H28">
        <v>2305171</v>
      </c>
      <c r="I28">
        <v>2091664</v>
      </c>
      <c r="J28">
        <v>1726985</v>
      </c>
      <c r="K28">
        <v>1341474</v>
      </c>
      <c r="L28">
        <v>938578</v>
      </c>
      <c r="M28">
        <v>592244</v>
      </c>
      <c r="N28">
        <v>582000</v>
      </c>
      <c r="O28">
        <v>4.5194000000000001</v>
      </c>
      <c r="P28">
        <v>1.0162</v>
      </c>
      <c r="Q28">
        <v>0.03</v>
      </c>
    </row>
    <row r="29" spans="1:17" x14ac:dyDescent="0.35">
      <c r="A29">
        <v>7</v>
      </c>
      <c r="B29" t="s">
        <v>104</v>
      </c>
      <c r="C29" t="s">
        <v>105</v>
      </c>
      <c r="D29" t="s">
        <v>106</v>
      </c>
      <c r="E29" t="s">
        <v>49</v>
      </c>
      <c r="F29">
        <v>215313498</v>
      </c>
      <c r="G29">
        <v>213196304</v>
      </c>
      <c r="H29">
        <v>205188205</v>
      </c>
      <c r="I29">
        <v>196353492</v>
      </c>
      <c r="J29">
        <v>175873720</v>
      </c>
      <c r="K29">
        <v>150706446</v>
      </c>
      <c r="L29">
        <v>122288383</v>
      </c>
      <c r="M29">
        <v>96369875</v>
      </c>
      <c r="N29">
        <v>8515767</v>
      </c>
      <c r="O29">
        <v>25.284099999999999</v>
      </c>
      <c r="P29">
        <v>1.0045999999999999</v>
      </c>
      <c r="Q29">
        <v>2.7</v>
      </c>
    </row>
    <row r="30" spans="1:17" x14ac:dyDescent="0.35">
      <c r="A30">
        <v>221</v>
      </c>
      <c r="B30" t="s">
        <v>107</v>
      </c>
      <c r="C30" t="s">
        <v>108</v>
      </c>
      <c r="D30" t="s">
        <v>109</v>
      </c>
      <c r="E30" t="s">
        <v>42</v>
      </c>
      <c r="F30">
        <v>31305</v>
      </c>
      <c r="G30">
        <v>30910</v>
      </c>
      <c r="H30">
        <v>29366</v>
      </c>
      <c r="I30">
        <v>27556</v>
      </c>
      <c r="J30">
        <v>20104</v>
      </c>
      <c r="K30">
        <v>15617</v>
      </c>
      <c r="L30">
        <v>11109</v>
      </c>
      <c r="M30">
        <v>9581</v>
      </c>
      <c r="N30">
        <v>151</v>
      </c>
      <c r="O30">
        <v>207.31790000000001</v>
      </c>
      <c r="P30">
        <v>1.0059</v>
      </c>
      <c r="Q30">
        <v>0</v>
      </c>
    </row>
    <row r="31" spans="1:17" x14ac:dyDescent="0.35">
      <c r="A31">
        <v>175</v>
      </c>
      <c r="B31" t="s">
        <v>110</v>
      </c>
      <c r="C31" t="s">
        <v>111</v>
      </c>
      <c r="D31" t="s">
        <v>112</v>
      </c>
      <c r="E31" t="s">
        <v>20</v>
      </c>
      <c r="F31">
        <v>449002</v>
      </c>
      <c r="G31">
        <v>441725</v>
      </c>
      <c r="H31">
        <v>421437</v>
      </c>
      <c r="I31">
        <v>396053</v>
      </c>
      <c r="J31">
        <v>333926</v>
      </c>
      <c r="K31">
        <v>261928</v>
      </c>
      <c r="L31">
        <v>187921</v>
      </c>
      <c r="M31">
        <v>133343</v>
      </c>
      <c r="N31">
        <v>5765</v>
      </c>
      <c r="O31">
        <v>77.884100000000004</v>
      </c>
      <c r="P31">
        <v>1.0081</v>
      </c>
      <c r="Q31">
        <v>0.01</v>
      </c>
    </row>
    <row r="32" spans="1:17" x14ac:dyDescent="0.35">
      <c r="A32">
        <v>108</v>
      </c>
      <c r="B32" t="s">
        <v>113</v>
      </c>
      <c r="C32" t="s">
        <v>114</v>
      </c>
      <c r="D32" t="s">
        <v>115</v>
      </c>
      <c r="E32" t="s">
        <v>24</v>
      </c>
      <c r="F32">
        <v>6781953</v>
      </c>
      <c r="G32">
        <v>6979175</v>
      </c>
      <c r="H32">
        <v>7309253</v>
      </c>
      <c r="I32">
        <v>7592273</v>
      </c>
      <c r="J32">
        <v>8097691</v>
      </c>
      <c r="K32">
        <v>8767778</v>
      </c>
      <c r="L32">
        <v>8980606</v>
      </c>
      <c r="M32">
        <v>8582950</v>
      </c>
      <c r="N32">
        <v>110879</v>
      </c>
      <c r="O32">
        <v>61.165399999999998</v>
      </c>
      <c r="P32">
        <v>0.9849</v>
      </c>
      <c r="Q32">
        <v>0.09</v>
      </c>
    </row>
    <row r="33" spans="1:17" x14ac:dyDescent="0.35">
      <c r="A33">
        <v>58</v>
      </c>
      <c r="B33" t="s">
        <v>116</v>
      </c>
      <c r="C33" t="s">
        <v>117</v>
      </c>
      <c r="D33" t="s">
        <v>118</v>
      </c>
      <c r="E33" t="s">
        <v>28</v>
      </c>
      <c r="F33">
        <v>22673762</v>
      </c>
      <c r="G33">
        <v>21522626</v>
      </c>
      <c r="H33">
        <v>18718019</v>
      </c>
      <c r="I33">
        <v>16116845</v>
      </c>
      <c r="J33">
        <v>11882888</v>
      </c>
      <c r="K33">
        <v>9131361</v>
      </c>
      <c r="L33">
        <v>6932967</v>
      </c>
      <c r="M33">
        <v>5611666</v>
      </c>
      <c r="N33">
        <v>272967</v>
      </c>
      <c r="O33">
        <v>83.064099999999996</v>
      </c>
      <c r="P33">
        <v>1.0259</v>
      </c>
      <c r="Q33">
        <v>0.28000000000000003</v>
      </c>
    </row>
    <row r="34" spans="1:17" x14ac:dyDescent="0.35">
      <c r="A34">
        <v>78</v>
      </c>
      <c r="B34" t="s">
        <v>119</v>
      </c>
      <c r="C34" t="s">
        <v>120</v>
      </c>
      <c r="D34" t="s">
        <v>121</v>
      </c>
      <c r="E34" t="s">
        <v>28</v>
      </c>
      <c r="F34">
        <v>12889576</v>
      </c>
      <c r="G34">
        <v>12220227</v>
      </c>
      <c r="H34">
        <v>10727148</v>
      </c>
      <c r="I34">
        <v>9126605</v>
      </c>
      <c r="J34">
        <v>6307659</v>
      </c>
      <c r="K34">
        <v>5483793</v>
      </c>
      <c r="L34">
        <v>4312834</v>
      </c>
      <c r="M34">
        <v>3497834</v>
      </c>
      <c r="N34">
        <v>27834</v>
      </c>
      <c r="O34">
        <v>463.0874</v>
      </c>
      <c r="P34">
        <v>1.0269999999999999</v>
      </c>
      <c r="Q34">
        <v>0.16</v>
      </c>
    </row>
    <row r="35" spans="1:17" x14ac:dyDescent="0.35">
      <c r="A35">
        <v>73</v>
      </c>
      <c r="B35" t="s">
        <v>122</v>
      </c>
      <c r="C35" t="s">
        <v>123</v>
      </c>
      <c r="D35" t="s">
        <v>124</v>
      </c>
      <c r="E35" t="s">
        <v>20</v>
      </c>
      <c r="F35">
        <v>16767842</v>
      </c>
      <c r="G35">
        <v>16396860</v>
      </c>
      <c r="H35">
        <v>15417523</v>
      </c>
      <c r="I35">
        <v>14363532</v>
      </c>
      <c r="J35">
        <v>12118841</v>
      </c>
      <c r="K35">
        <v>8910808</v>
      </c>
      <c r="L35">
        <v>6198959</v>
      </c>
      <c r="M35">
        <v>6708525</v>
      </c>
      <c r="N35">
        <v>181035</v>
      </c>
      <c r="O35">
        <v>92.622100000000003</v>
      </c>
      <c r="P35">
        <v>1.0107999999999999</v>
      </c>
      <c r="Q35">
        <v>0.21</v>
      </c>
    </row>
    <row r="36" spans="1:17" x14ac:dyDescent="0.35">
      <c r="A36">
        <v>53</v>
      </c>
      <c r="B36" t="s">
        <v>125</v>
      </c>
      <c r="C36" t="s">
        <v>126</v>
      </c>
      <c r="D36" t="s">
        <v>127</v>
      </c>
      <c r="E36" t="s">
        <v>28</v>
      </c>
      <c r="F36">
        <v>27914536</v>
      </c>
      <c r="G36">
        <v>26491087</v>
      </c>
      <c r="H36">
        <v>23012646</v>
      </c>
      <c r="I36">
        <v>19878036</v>
      </c>
      <c r="J36">
        <v>15091594</v>
      </c>
      <c r="K36">
        <v>11430520</v>
      </c>
      <c r="L36">
        <v>8519891</v>
      </c>
      <c r="M36">
        <v>6452787</v>
      </c>
      <c r="N36">
        <v>475442</v>
      </c>
      <c r="O36">
        <v>58.712800000000001</v>
      </c>
      <c r="P36">
        <v>1.0263</v>
      </c>
      <c r="Q36">
        <v>0.35</v>
      </c>
    </row>
    <row r="37" spans="1:17" x14ac:dyDescent="0.35">
      <c r="A37">
        <v>39</v>
      </c>
      <c r="B37" t="s">
        <v>128</v>
      </c>
      <c r="C37" t="s">
        <v>129</v>
      </c>
      <c r="D37" t="s">
        <v>130</v>
      </c>
      <c r="E37" t="s">
        <v>42</v>
      </c>
      <c r="F37">
        <v>38454327</v>
      </c>
      <c r="G37">
        <v>37888705</v>
      </c>
      <c r="H37">
        <v>35732126</v>
      </c>
      <c r="I37">
        <v>33963412</v>
      </c>
      <c r="J37">
        <v>30683313</v>
      </c>
      <c r="K37">
        <v>27657204</v>
      </c>
      <c r="L37">
        <v>24511510</v>
      </c>
      <c r="M37">
        <v>21434577</v>
      </c>
      <c r="N37">
        <v>9984670</v>
      </c>
      <c r="O37">
        <v>3.8513000000000002</v>
      </c>
      <c r="P37">
        <v>1.0078</v>
      </c>
      <c r="Q37">
        <v>0.48</v>
      </c>
    </row>
    <row r="38" spans="1:17" x14ac:dyDescent="0.35">
      <c r="A38">
        <v>171</v>
      </c>
      <c r="B38" t="s">
        <v>131</v>
      </c>
      <c r="C38" t="s">
        <v>132</v>
      </c>
      <c r="D38" t="s">
        <v>133</v>
      </c>
      <c r="E38" t="s">
        <v>28</v>
      </c>
      <c r="F38">
        <v>593149</v>
      </c>
      <c r="G38">
        <v>582640</v>
      </c>
      <c r="H38">
        <v>552166</v>
      </c>
      <c r="I38">
        <v>521212</v>
      </c>
      <c r="J38">
        <v>458251</v>
      </c>
      <c r="K38">
        <v>364563</v>
      </c>
      <c r="L38">
        <v>317234</v>
      </c>
      <c r="M38">
        <v>287262</v>
      </c>
      <c r="N38">
        <v>4033</v>
      </c>
      <c r="O38">
        <v>147.07390000000001</v>
      </c>
      <c r="P38">
        <v>1.0088999999999999</v>
      </c>
      <c r="Q38">
        <v>0.01</v>
      </c>
    </row>
    <row r="39" spans="1:17" x14ac:dyDescent="0.35">
      <c r="A39">
        <v>205</v>
      </c>
      <c r="B39" t="s">
        <v>134</v>
      </c>
      <c r="C39" t="s">
        <v>135</v>
      </c>
      <c r="D39" t="s">
        <v>136</v>
      </c>
      <c r="E39" t="s">
        <v>42</v>
      </c>
      <c r="F39">
        <v>68706</v>
      </c>
      <c r="G39">
        <v>67311</v>
      </c>
      <c r="H39">
        <v>60911</v>
      </c>
      <c r="I39">
        <v>54074</v>
      </c>
      <c r="J39">
        <v>39658</v>
      </c>
      <c r="K39">
        <v>26027</v>
      </c>
      <c r="L39">
        <v>17100</v>
      </c>
      <c r="M39">
        <v>10533</v>
      </c>
      <c r="N39">
        <v>264</v>
      </c>
      <c r="O39">
        <v>260.25</v>
      </c>
      <c r="P39">
        <v>1.0084</v>
      </c>
      <c r="Q39">
        <v>0</v>
      </c>
    </row>
    <row r="40" spans="1:17" x14ac:dyDescent="0.35">
      <c r="A40">
        <v>117</v>
      </c>
      <c r="B40" t="s">
        <v>137</v>
      </c>
      <c r="C40" t="s">
        <v>138</v>
      </c>
      <c r="D40" t="s">
        <v>139</v>
      </c>
      <c r="E40" t="s">
        <v>28</v>
      </c>
      <c r="F40">
        <v>5579144</v>
      </c>
      <c r="G40">
        <v>5343020</v>
      </c>
      <c r="H40">
        <v>4819333</v>
      </c>
      <c r="I40">
        <v>4660067</v>
      </c>
      <c r="J40">
        <v>3759170</v>
      </c>
      <c r="K40">
        <v>2809221</v>
      </c>
      <c r="L40">
        <v>2415276</v>
      </c>
      <c r="M40">
        <v>2067356</v>
      </c>
      <c r="N40">
        <v>622984</v>
      </c>
      <c r="O40">
        <v>8.9555000000000007</v>
      </c>
      <c r="P40">
        <v>1.0224</v>
      </c>
      <c r="Q40">
        <v>7.0000000000000007E-2</v>
      </c>
    </row>
    <row r="41" spans="1:17" x14ac:dyDescent="0.35">
      <c r="A41">
        <v>69</v>
      </c>
      <c r="B41" t="s">
        <v>140</v>
      </c>
      <c r="C41" t="s">
        <v>141</v>
      </c>
      <c r="D41" t="s">
        <v>142</v>
      </c>
      <c r="E41" t="s">
        <v>28</v>
      </c>
      <c r="F41">
        <v>17723315</v>
      </c>
      <c r="G41">
        <v>16644701</v>
      </c>
      <c r="H41">
        <v>14140274</v>
      </c>
      <c r="I41">
        <v>11894727</v>
      </c>
      <c r="J41">
        <v>8259137</v>
      </c>
      <c r="K41">
        <v>5827069</v>
      </c>
      <c r="L41">
        <v>4408230</v>
      </c>
      <c r="M41">
        <v>3667394</v>
      </c>
      <c r="N41">
        <v>1284000</v>
      </c>
      <c r="O41">
        <v>13.8032</v>
      </c>
      <c r="P41">
        <v>1.0316000000000001</v>
      </c>
      <c r="Q41">
        <v>0.22</v>
      </c>
    </row>
    <row r="42" spans="1:17" x14ac:dyDescent="0.35">
      <c r="A42">
        <v>65</v>
      </c>
      <c r="B42" t="s">
        <v>143</v>
      </c>
      <c r="C42" t="s">
        <v>144</v>
      </c>
      <c r="D42" t="s">
        <v>145</v>
      </c>
      <c r="E42" t="s">
        <v>49</v>
      </c>
      <c r="F42">
        <v>19603733</v>
      </c>
      <c r="G42">
        <v>19300315</v>
      </c>
      <c r="H42">
        <v>17870124</v>
      </c>
      <c r="I42">
        <v>17004162</v>
      </c>
      <c r="J42">
        <v>15351799</v>
      </c>
      <c r="K42">
        <v>13342868</v>
      </c>
      <c r="L42">
        <v>11469828</v>
      </c>
      <c r="M42">
        <v>9820481</v>
      </c>
      <c r="N42">
        <v>756102</v>
      </c>
      <c r="O42">
        <v>25.927399999999999</v>
      </c>
      <c r="P42">
        <v>1.0057</v>
      </c>
      <c r="Q42">
        <v>0.25</v>
      </c>
    </row>
    <row r="43" spans="1:17" x14ac:dyDescent="0.35">
      <c r="A43">
        <v>1</v>
      </c>
      <c r="B43" t="s">
        <v>146</v>
      </c>
      <c r="C43" t="s">
        <v>147</v>
      </c>
      <c r="D43" t="s">
        <v>148</v>
      </c>
      <c r="E43" t="s">
        <v>20</v>
      </c>
      <c r="F43">
        <v>1425887337</v>
      </c>
      <c r="G43">
        <v>1424929781</v>
      </c>
      <c r="H43">
        <v>1393715448</v>
      </c>
      <c r="I43">
        <v>1348191368</v>
      </c>
      <c r="J43">
        <v>1264099069</v>
      </c>
      <c r="K43">
        <v>1153704252</v>
      </c>
      <c r="L43">
        <v>982372466</v>
      </c>
      <c r="M43">
        <v>822534450</v>
      </c>
      <c r="N43">
        <v>9706961</v>
      </c>
      <c r="O43">
        <v>146.89330000000001</v>
      </c>
      <c r="P43">
        <v>1</v>
      </c>
      <c r="Q43">
        <v>17.88</v>
      </c>
    </row>
    <row r="44" spans="1:17" x14ac:dyDescent="0.35">
      <c r="A44">
        <v>28</v>
      </c>
      <c r="B44" t="s">
        <v>149</v>
      </c>
      <c r="C44" t="s">
        <v>150</v>
      </c>
      <c r="D44" t="s">
        <v>151</v>
      </c>
      <c r="E44" t="s">
        <v>49</v>
      </c>
      <c r="F44">
        <v>51874024</v>
      </c>
      <c r="G44">
        <v>50930662</v>
      </c>
      <c r="H44">
        <v>47119728</v>
      </c>
      <c r="I44">
        <v>44816108</v>
      </c>
      <c r="J44">
        <v>39215135</v>
      </c>
      <c r="K44">
        <v>32601393</v>
      </c>
      <c r="L44">
        <v>26176195</v>
      </c>
      <c r="M44">
        <v>20905254</v>
      </c>
      <c r="N44">
        <v>1141748</v>
      </c>
      <c r="O44">
        <v>45.433900000000001</v>
      </c>
      <c r="P44">
        <v>1.0068999999999999</v>
      </c>
      <c r="Q44">
        <v>0.65</v>
      </c>
    </row>
    <row r="45" spans="1:17" x14ac:dyDescent="0.35">
      <c r="A45">
        <v>163</v>
      </c>
      <c r="B45" t="s">
        <v>152</v>
      </c>
      <c r="C45" t="s">
        <v>153</v>
      </c>
      <c r="D45" t="s">
        <v>154</v>
      </c>
      <c r="E45" t="s">
        <v>28</v>
      </c>
      <c r="F45">
        <v>836774</v>
      </c>
      <c r="G45">
        <v>806166</v>
      </c>
      <c r="H45">
        <v>730216</v>
      </c>
      <c r="I45">
        <v>656024</v>
      </c>
      <c r="J45">
        <v>536758</v>
      </c>
      <c r="K45">
        <v>431119</v>
      </c>
      <c r="L45">
        <v>328328</v>
      </c>
      <c r="M45">
        <v>242351</v>
      </c>
      <c r="N45">
        <v>1862</v>
      </c>
      <c r="O45">
        <v>449.39530000000002</v>
      </c>
      <c r="P45">
        <v>1.0184</v>
      </c>
      <c r="Q45">
        <v>0.01</v>
      </c>
    </row>
    <row r="46" spans="1:17" x14ac:dyDescent="0.35">
      <c r="A46">
        <v>223</v>
      </c>
      <c r="B46" t="s">
        <v>155</v>
      </c>
      <c r="C46" t="s">
        <v>156</v>
      </c>
      <c r="D46" t="s">
        <v>157</v>
      </c>
      <c r="E46" t="s">
        <v>32</v>
      </c>
      <c r="F46">
        <v>17011</v>
      </c>
      <c r="G46">
        <v>17029</v>
      </c>
      <c r="H46">
        <v>17695</v>
      </c>
      <c r="I46">
        <v>17212</v>
      </c>
      <c r="J46">
        <v>15897</v>
      </c>
      <c r="K46">
        <v>17123</v>
      </c>
      <c r="L46">
        <v>17651</v>
      </c>
      <c r="M46">
        <v>20470</v>
      </c>
      <c r="N46">
        <v>236</v>
      </c>
      <c r="O46">
        <v>72.080500000000001</v>
      </c>
      <c r="P46">
        <v>1.0004999999999999</v>
      </c>
      <c r="Q46">
        <v>0</v>
      </c>
    </row>
    <row r="47" spans="1:17" x14ac:dyDescent="0.35">
      <c r="A47">
        <v>124</v>
      </c>
      <c r="B47" t="s">
        <v>158</v>
      </c>
      <c r="C47" t="s">
        <v>159</v>
      </c>
      <c r="D47" t="s">
        <v>160</v>
      </c>
      <c r="E47" t="s">
        <v>42</v>
      </c>
      <c r="F47">
        <v>5180829</v>
      </c>
      <c r="G47">
        <v>5123105</v>
      </c>
      <c r="H47">
        <v>4895242</v>
      </c>
      <c r="I47">
        <v>4622252</v>
      </c>
      <c r="J47">
        <v>3979193</v>
      </c>
      <c r="K47">
        <v>3158253</v>
      </c>
      <c r="L47">
        <v>2414303</v>
      </c>
      <c r="M47">
        <v>1855697</v>
      </c>
      <c r="N47">
        <v>51100</v>
      </c>
      <c r="O47">
        <v>101.3861</v>
      </c>
      <c r="P47">
        <v>1.0052000000000001</v>
      </c>
      <c r="Q47">
        <v>0.06</v>
      </c>
    </row>
    <row r="48" spans="1:17" x14ac:dyDescent="0.35">
      <c r="A48">
        <v>130</v>
      </c>
      <c r="B48" t="s">
        <v>161</v>
      </c>
      <c r="C48" t="s">
        <v>162</v>
      </c>
      <c r="D48" t="s">
        <v>163</v>
      </c>
      <c r="E48" t="s">
        <v>24</v>
      </c>
      <c r="F48">
        <v>4030358</v>
      </c>
      <c r="G48">
        <v>4096868</v>
      </c>
      <c r="H48">
        <v>4254815</v>
      </c>
      <c r="I48">
        <v>4368682</v>
      </c>
      <c r="J48">
        <v>4548434</v>
      </c>
      <c r="K48">
        <v>4873707</v>
      </c>
      <c r="L48">
        <v>4680144</v>
      </c>
      <c r="M48">
        <v>4492638</v>
      </c>
      <c r="N48">
        <v>56594</v>
      </c>
      <c r="O48">
        <v>71.215299999999999</v>
      </c>
      <c r="P48">
        <v>0.99270000000000003</v>
      </c>
      <c r="Q48">
        <v>0.05</v>
      </c>
    </row>
    <row r="49" spans="1:17" x14ac:dyDescent="0.35">
      <c r="A49">
        <v>85</v>
      </c>
      <c r="B49" t="s">
        <v>164</v>
      </c>
      <c r="C49" t="s">
        <v>165</v>
      </c>
      <c r="D49" t="s">
        <v>166</v>
      </c>
      <c r="E49" t="s">
        <v>42</v>
      </c>
      <c r="F49">
        <v>11212191</v>
      </c>
      <c r="G49">
        <v>11300698</v>
      </c>
      <c r="H49">
        <v>11339894</v>
      </c>
      <c r="I49">
        <v>11290417</v>
      </c>
      <c r="J49">
        <v>11105791</v>
      </c>
      <c r="K49">
        <v>10626680</v>
      </c>
      <c r="L49">
        <v>9809107</v>
      </c>
      <c r="M49">
        <v>8869636</v>
      </c>
      <c r="N49">
        <v>109884</v>
      </c>
      <c r="O49">
        <v>102.03660000000001</v>
      </c>
      <c r="P49">
        <v>0.99609999999999999</v>
      </c>
      <c r="Q49">
        <v>0.14000000000000001</v>
      </c>
    </row>
    <row r="50" spans="1:17" x14ac:dyDescent="0.35">
      <c r="A50">
        <v>189</v>
      </c>
      <c r="B50" t="s">
        <v>167</v>
      </c>
      <c r="C50" t="s">
        <v>168</v>
      </c>
      <c r="D50" t="s">
        <v>169</v>
      </c>
      <c r="E50" t="s">
        <v>42</v>
      </c>
      <c r="F50">
        <v>191163</v>
      </c>
      <c r="G50">
        <v>189288</v>
      </c>
      <c r="H50">
        <v>169572</v>
      </c>
      <c r="I50">
        <v>159380</v>
      </c>
      <c r="J50">
        <v>141424</v>
      </c>
      <c r="K50">
        <v>155446</v>
      </c>
      <c r="L50">
        <v>156851</v>
      </c>
      <c r="M50">
        <v>150385</v>
      </c>
      <c r="N50">
        <v>444</v>
      </c>
      <c r="O50">
        <v>430.54730000000001</v>
      </c>
      <c r="P50">
        <v>1.0043</v>
      </c>
      <c r="Q50">
        <v>0</v>
      </c>
    </row>
    <row r="51" spans="1:17" x14ac:dyDescent="0.35">
      <c r="A51">
        <v>158</v>
      </c>
      <c r="B51" t="s">
        <v>170</v>
      </c>
      <c r="C51" t="s">
        <v>171</v>
      </c>
      <c r="D51" t="s">
        <v>172</v>
      </c>
      <c r="E51" t="s">
        <v>24</v>
      </c>
      <c r="F51">
        <v>1251488</v>
      </c>
      <c r="G51">
        <v>1237537</v>
      </c>
      <c r="H51">
        <v>1187280</v>
      </c>
      <c r="I51">
        <v>1129686</v>
      </c>
      <c r="J51">
        <v>948237</v>
      </c>
      <c r="K51">
        <v>788500</v>
      </c>
      <c r="L51">
        <v>679327</v>
      </c>
      <c r="M51">
        <v>640804</v>
      </c>
      <c r="N51">
        <v>9251</v>
      </c>
      <c r="O51">
        <v>135.28139999999999</v>
      </c>
      <c r="P51">
        <v>1.0059</v>
      </c>
      <c r="Q51">
        <v>0.02</v>
      </c>
    </row>
    <row r="52" spans="1:17" x14ac:dyDescent="0.35">
      <c r="A52">
        <v>88</v>
      </c>
      <c r="B52" t="s">
        <v>173</v>
      </c>
      <c r="C52" t="s">
        <v>174</v>
      </c>
      <c r="D52" t="s">
        <v>175</v>
      </c>
      <c r="E52" t="s">
        <v>24</v>
      </c>
      <c r="F52">
        <v>10493986</v>
      </c>
      <c r="G52">
        <v>10530953</v>
      </c>
      <c r="H52">
        <v>10523798</v>
      </c>
      <c r="I52">
        <v>10464749</v>
      </c>
      <c r="J52">
        <v>10234710</v>
      </c>
      <c r="K52">
        <v>10301192</v>
      </c>
      <c r="L52">
        <v>10270060</v>
      </c>
      <c r="M52">
        <v>9795744</v>
      </c>
      <c r="N52">
        <v>78865</v>
      </c>
      <c r="O52">
        <v>133.06270000000001</v>
      </c>
      <c r="P52">
        <v>0.99839999999999995</v>
      </c>
      <c r="Q52">
        <v>0.13</v>
      </c>
    </row>
    <row r="53" spans="1:17" x14ac:dyDescent="0.35">
      <c r="A53">
        <v>115</v>
      </c>
      <c r="B53" t="s">
        <v>176</v>
      </c>
      <c r="C53" t="s">
        <v>177</v>
      </c>
      <c r="D53" t="s">
        <v>178</v>
      </c>
      <c r="E53" t="s">
        <v>24</v>
      </c>
      <c r="F53">
        <v>5882261</v>
      </c>
      <c r="G53">
        <v>5825641</v>
      </c>
      <c r="H53">
        <v>5677796</v>
      </c>
      <c r="I53">
        <v>5550849</v>
      </c>
      <c r="J53">
        <v>5340655</v>
      </c>
      <c r="K53">
        <v>5144623</v>
      </c>
      <c r="L53">
        <v>5125392</v>
      </c>
      <c r="M53">
        <v>4922963</v>
      </c>
      <c r="N53">
        <v>43094</v>
      </c>
      <c r="O53">
        <v>136.4984</v>
      </c>
      <c r="P53">
        <v>1.0047999999999999</v>
      </c>
      <c r="Q53">
        <v>7.0000000000000007E-2</v>
      </c>
    </row>
    <row r="54" spans="1:17" x14ac:dyDescent="0.35">
      <c r="A54">
        <v>160</v>
      </c>
      <c r="B54" t="s">
        <v>179</v>
      </c>
      <c r="C54" t="s">
        <v>180</v>
      </c>
      <c r="D54" t="s">
        <v>180</v>
      </c>
      <c r="E54" t="s">
        <v>28</v>
      </c>
      <c r="F54">
        <v>1120849</v>
      </c>
      <c r="G54">
        <v>1090156</v>
      </c>
      <c r="H54">
        <v>1006259</v>
      </c>
      <c r="I54">
        <v>919199</v>
      </c>
      <c r="J54">
        <v>742033</v>
      </c>
      <c r="K54">
        <v>577173</v>
      </c>
      <c r="L54">
        <v>324121</v>
      </c>
      <c r="M54">
        <v>144379</v>
      </c>
      <c r="N54">
        <v>23200</v>
      </c>
      <c r="O54">
        <v>48.3125</v>
      </c>
      <c r="P54">
        <v>1.0138</v>
      </c>
      <c r="Q54">
        <v>0.01</v>
      </c>
    </row>
    <row r="55" spans="1:17" x14ac:dyDescent="0.35">
      <c r="A55">
        <v>204</v>
      </c>
      <c r="B55" t="s">
        <v>181</v>
      </c>
      <c r="C55" t="s">
        <v>182</v>
      </c>
      <c r="D55" t="s">
        <v>183</v>
      </c>
      <c r="E55" t="s">
        <v>42</v>
      </c>
      <c r="F55">
        <v>72737</v>
      </c>
      <c r="G55">
        <v>71995</v>
      </c>
      <c r="H55">
        <v>70007</v>
      </c>
      <c r="I55">
        <v>68755</v>
      </c>
      <c r="J55">
        <v>68346</v>
      </c>
      <c r="K55">
        <v>69481</v>
      </c>
      <c r="L55">
        <v>72978</v>
      </c>
      <c r="M55">
        <v>68895</v>
      </c>
      <c r="N55">
        <v>751</v>
      </c>
      <c r="O55">
        <v>96.853499999999997</v>
      </c>
      <c r="P55">
        <v>1.0044999999999999</v>
      </c>
      <c r="Q55">
        <v>0</v>
      </c>
    </row>
    <row r="56" spans="1:17" x14ac:dyDescent="0.35">
      <c r="A56">
        <v>84</v>
      </c>
      <c r="B56" t="s">
        <v>184</v>
      </c>
      <c r="C56" t="s">
        <v>185</v>
      </c>
      <c r="D56" t="s">
        <v>186</v>
      </c>
      <c r="E56" t="s">
        <v>42</v>
      </c>
      <c r="F56">
        <v>11228821</v>
      </c>
      <c r="G56">
        <v>10999664</v>
      </c>
      <c r="H56">
        <v>10405832</v>
      </c>
      <c r="I56">
        <v>9775755</v>
      </c>
      <c r="J56">
        <v>8540791</v>
      </c>
      <c r="K56">
        <v>7129004</v>
      </c>
      <c r="L56">
        <v>5755800</v>
      </c>
      <c r="M56">
        <v>4475871</v>
      </c>
      <c r="N56">
        <v>48671</v>
      </c>
      <c r="O56">
        <v>230.70869999999999</v>
      </c>
      <c r="P56">
        <v>1.01</v>
      </c>
      <c r="Q56">
        <v>0.14000000000000001</v>
      </c>
    </row>
    <row r="57" spans="1:17" x14ac:dyDescent="0.35">
      <c r="A57">
        <v>15</v>
      </c>
      <c r="B57" t="s">
        <v>187</v>
      </c>
      <c r="C57" t="s">
        <v>188</v>
      </c>
      <c r="D57" t="s">
        <v>189</v>
      </c>
      <c r="E57" t="s">
        <v>28</v>
      </c>
      <c r="F57">
        <v>99010212</v>
      </c>
      <c r="G57">
        <v>92853164</v>
      </c>
      <c r="H57">
        <v>78656904</v>
      </c>
      <c r="I57">
        <v>66391257</v>
      </c>
      <c r="J57">
        <v>48616317</v>
      </c>
      <c r="K57">
        <v>35987541</v>
      </c>
      <c r="L57">
        <v>26708686</v>
      </c>
      <c r="M57">
        <v>20151733</v>
      </c>
      <c r="N57">
        <v>2344858</v>
      </c>
      <c r="O57">
        <v>42.224400000000003</v>
      </c>
      <c r="P57">
        <v>1.0325</v>
      </c>
      <c r="Q57">
        <v>1.24</v>
      </c>
    </row>
    <row r="58" spans="1:17" x14ac:dyDescent="0.35">
      <c r="A58">
        <v>67</v>
      </c>
      <c r="B58" t="s">
        <v>190</v>
      </c>
      <c r="C58" t="s">
        <v>191</v>
      </c>
      <c r="D58" t="s">
        <v>192</v>
      </c>
      <c r="E58" t="s">
        <v>49</v>
      </c>
      <c r="F58">
        <v>18001000</v>
      </c>
      <c r="G58">
        <v>17588595</v>
      </c>
      <c r="H58">
        <v>16195902</v>
      </c>
      <c r="I58">
        <v>14989585</v>
      </c>
      <c r="J58">
        <v>12626507</v>
      </c>
      <c r="K58">
        <v>10449837</v>
      </c>
      <c r="L58">
        <v>8135845</v>
      </c>
      <c r="M58">
        <v>6172215</v>
      </c>
      <c r="N58">
        <v>276841</v>
      </c>
      <c r="O58">
        <v>65.022900000000007</v>
      </c>
      <c r="P58">
        <v>1.0114000000000001</v>
      </c>
      <c r="Q58">
        <v>0.23</v>
      </c>
    </row>
    <row r="59" spans="1:17" x14ac:dyDescent="0.35">
      <c r="A59">
        <v>14</v>
      </c>
      <c r="B59" t="s">
        <v>193</v>
      </c>
      <c r="C59" t="s">
        <v>194</v>
      </c>
      <c r="D59" t="s">
        <v>195</v>
      </c>
      <c r="E59" t="s">
        <v>28</v>
      </c>
      <c r="F59">
        <v>110990103</v>
      </c>
      <c r="G59">
        <v>107465134</v>
      </c>
      <c r="H59">
        <v>97723799</v>
      </c>
      <c r="I59">
        <v>87252413</v>
      </c>
      <c r="J59">
        <v>71371371</v>
      </c>
      <c r="K59">
        <v>57214630</v>
      </c>
      <c r="L59">
        <v>43748556</v>
      </c>
      <c r="M59">
        <v>34781986</v>
      </c>
      <c r="N59">
        <v>1002450</v>
      </c>
      <c r="O59">
        <v>110.7188</v>
      </c>
      <c r="P59">
        <v>1.0158</v>
      </c>
      <c r="Q59">
        <v>1.39</v>
      </c>
    </row>
    <row r="60" spans="1:17" x14ac:dyDescent="0.35">
      <c r="A60">
        <v>112</v>
      </c>
      <c r="B60" t="s">
        <v>196</v>
      </c>
      <c r="C60" t="s">
        <v>197</v>
      </c>
      <c r="D60" t="s">
        <v>198</v>
      </c>
      <c r="E60" t="s">
        <v>42</v>
      </c>
      <c r="F60">
        <v>6336392</v>
      </c>
      <c r="G60">
        <v>6292731</v>
      </c>
      <c r="H60">
        <v>6231066</v>
      </c>
      <c r="I60">
        <v>6114034</v>
      </c>
      <c r="J60">
        <v>5958482</v>
      </c>
      <c r="K60">
        <v>5367179</v>
      </c>
      <c r="L60">
        <v>4508992</v>
      </c>
      <c r="M60">
        <v>3619090</v>
      </c>
      <c r="N60">
        <v>21041</v>
      </c>
      <c r="O60">
        <v>301.14499999999998</v>
      </c>
      <c r="P60">
        <v>1.0035000000000001</v>
      </c>
      <c r="Q60">
        <v>0.08</v>
      </c>
    </row>
    <row r="61" spans="1:17" x14ac:dyDescent="0.35">
      <c r="A61">
        <v>152</v>
      </c>
      <c r="B61" t="s">
        <v>199</v>
      </c>
      <c r="C61" t="s">
        <v>200</v>
      </c>
      <c r="D61" t="s">
        <v>201</v>
      </c>
      <c r="E61" t="s">
        <v>28</v>
      </c>
      <c r="F61">
        <v>1674908</v>
      </c>
      <c r="G61">
        <v>1596049</v>
      </c>
      <c r="H61">
        <v>1346973</v>
      </c>
      <c r="I61">
        <v>1094524</v>
      </c>
      <c r="J61">
        <v>684977</v>
      </c>
      <c r="K61">
        <v>465549</v>
      </c>
      <c r="L61">
        <v>282509</v>
      </c>
      <c r="M61">
        <v>316955</v>
      </c>
      <c r="N61">
        <v>28051</v>
      </c>
      <c r="O61">
        <v>59.709400000000002</v>
      </c>
      <c r="P61">
        <v>1.0246999999999999</v>
      </c>
      <c r="Q61">
        <v>0.02</v>
      </c>
    </row>
    <row r="62" spans="1:17" x14ac:dyDescent="0.35">
      <c r="A62">
        <v>132</v>
      </c>
      <c r="B62" t="s">
        <v>202</v>
      </c>
      <c r="C62" t="s">
        <v>203</v>
      </c>
      <c r="D62" t="s">
        <v>204</v>
      </c>
      <c r="E62" t="s">
        <v>28</v>
      </c>
      <c r="F62">
        <v>3684032</v>
      </c>
      <c r="G62">
        <v>3555868</v>
      </c>
      <c r="H62">
        <v>3340006</v>
      </c>
      <c r="I62">
        <v>3147727</v>
      </c>
      <c r="J62">
        <v>2392880</v>
      </c>
      <c r="K62">
        <v>2149960</v>
      </c>
      <c r="L62">
        <v>1657982</v>
      </c>
      <c r="M62">
        <v>1272748</v>
      </c>
      <c r="N62">
        <v>117600</v>
      </c>
      <c r="O62">
        <v>31.326799999999999</v>
      </c>
      <c r="P62">
        <v>1.0176000000000001</v>
      </c>
      <c r="Q62">
        <v>0.05</v>
      </c>
    </row>
    <row r="63" spans="1:17" x14ac:dyDescent="0.35">
      <c r="A63">
        <v>156</v>
      </c>
      <c r="B63" t="s">
        <v>205</v>
      </c>
      <c r="C63" t="s">
        <v>206</v>
      </c>
      <c r="D63" t="s">
        <v>207</v>
      </c>
      <c r="E63" t="s">
        <v>24</v>
      </c>
      <c r="F63">
        <v>1326062</v>
      </c>
      <c r="G63">
        <v>1329444</v>
      </c>
      <c r="H63">
        <v>1314657</v>
      </c>
      <c r="I63">
        <v>1331535</v>
      </c>
      <c r="J63">
        <v>1396877</v>
      </c>
      <c r="K63">
        <v>1570674</v>
      </c>
      <c r="L63">
        <v>1476983</v>
      </c>
      <c r="M63">
        <v>1361999</v>
      </c>
      <c r="N63">
        <v>45227</v>
      </c>
      <c r="O63">
        <v>29.3201</v>
      </c>
      <c r="P63">
        <v>0.998</v>
      </c>
      <c r="Q63">
        <v>0.02</v>
      </c>
    </row>
    <row r="64" spans="1:17" x14ac:dyDescent="0.35">
      <c r="A64">
        <v>159</v>
      </c>
      <c r="B64" t="s">
        <v>208</v>
      </c>
      <c r="C64" t="s">
        <v>209</v>
      </c>
      <c r="D64" t="s">
        <v>210</v>
      </c>
      <c r="E64" t="s">
        <v>28</v>
      </c>
      <c r="F64">
        <v>1201670</v>
      </c>
      <c r="G64">
        <v>1180655</v>
      </c>
      <c r="H64">
        <v>1133936</v>
      </c>
      <c r="I64">
        <v>1099920</v>
      </c>
      <c r="J64">
        <v>1030496</v>
      </c>
      <c r="K64">
        <v>854011</v>
      </c>
      <c r="L64">
        <v>598564</v>
      </c>
      <c r="M64">
        <v>442865</v>
      </c>
      <c r="N64">
        <v>17364</v>
      </c>
      <c r="O64">
        <v>69.204700000000003</v>
      </c>
      <c r="P64">
        <v>1.0079</v>
      </c>
      <c r="Q64">
        <v>0.02</v>
      </c>
    </row>
    <row r="65" spans="1:17" x14ac:dyDescent="0.35">
      <c r="A65">
        <v>12</v>
      </c>
      <c r="B65" t="s">
        <v>211</v>
      </c>
      <c r="C65" t="s">
        <v>212</v>
      </c>
      <c r="D65" t="s">
        <v>213</v>
      </c>
      <c r="E65" t="s">
        <v>28</v>
      </c>
      <c r="F65">
        <v>123379924</v>
      </c>
      <c r="G65">
        <v>117190911</v>
      </c>
      <c r="H65">
        <v>102471895</v>
      </c>
      <c r="I65">
        <v>89237791</v>
      </c>
      <c r="J65">
        <v>67031867</v>
      </c>
      <c r="K65">
        <v>47878073</v>
      </c>
      <c r="L65">
        <v>34945469</v>
      </c>
      <c r="M65">
        <v>28308246</v>
      </c>
      <c r="N65">
        <v>1104300</v>
      </c>
      <c r="O65">
        <v>111.7268</v>
      </c>
      <c r="P65">
        <v>1.0257000000000001</v>
      </c>
      <c r="Q65">
        <v>1.55</v>
      </c>
    </row>
    <row r="66" spans="1:17" x14ac:dyDescent="0.35">
      <c r="A66">
        <v>231</v>
      </c>
      <c r="B66" t="s">
        <v>214</v>
      </c>
      <c r="C66" t="s">
        <v>215</v>
      </c>
      <c r="D66" t="s">
        <v>216</v>
      </c>
      <c r="E66" t="s">
        <v>49</v>
      </c>
      <c r="F66">
        <v>3780</v>
      </c>
      <c r="G66">
        <v>3747</v>
      </c>
      <c r="H66">
        <v>3408</v>
      </c>
      <c r="I66">
        <v>3187</v>
      </c>
      <c r="J66">
        <v>3080</v>
      </c>
      <c r="K66">
        <v>2332</v>
      </c>
      <c r="L66">
        <v>2240</v>
      </c>
      <c r="M66">
        <v>2274</v>
      </c>
      <c r="N66">
        <v>12173</v>
      </c>
      <c r="O66">
        <v>0.3105</v>
      </c>
      <c r="P66">
        <v>1.0043</v>
      </c>
      <c r="Q66">
        <v>0</v>
      </c>
    </row>
    <row r="67" spans="1:17" x14ac:dyDescent="0.35">
      <c r="A67">
        <v>209</v>
      </c>
      <c r="B67" t="s">
        <v>217</v>
      </c>
      <c r="C67" t="s">
        <v>218</v>
      </c>
      <c r="D67" t="s">
        <v>219</v>
      </c>
      <c r="E67" t="s">
        <v>24</v>
      </c>
      <c r="F67">
        <v>53090</v>
      </c>
      <c r="G67">
        <v>52415</v>
      </c>
      <c r="H67">
        <v>48816</v>
      </c>
      <c r="I67">
        <v>48410</v>
      </c>
      <c r="J67">
        <v>45660</v>
      </c>
      <c r="K67">
        <v>47479</v>
      </c>
      <c r="L67">
        <v>43054</v>
      </c>
      <c r="M67">
        <v>38416</v>
      </c>
      <c r="N67">
        <v>1393</v>
      </c>
      <c r="O67">
        <v>38.112000000000002</v>
      </c>
      <c r="P67">
        <v>1.0038</v>
      </c>
      <c r="Q67">
        <v>0</v>
      </c>
    </row>
    <row r="68" spans="1:17" x14ac:dyDescent="0.35">
      <c r="A68">
        <v>162</v>
      </c>
      <c r="B68" t="s">
        <v>220</v>
      </c>
      <c r="C68" t="s">
        <v>221</v>
      </c>
      <c r="D68" t="s">
        <v>222</v>
      </c>
      <c r="E68" t="s">
        <v>32</v>
      </c>
      <c r="F68">
        <v>929766</v>
      </c>
      <c r="G68">
        <v>920422</v>
      </c>
      <c r="H68">
        <v>917200</v>
      </c>
      <c r="I68">
        <v>905169</v>
      </c>
      <c r="J68">
        <v>832509</v>
      </c>
      <c r="K68">
        <v>780430</v>
      </c>
      <c r="L68">
        <v>644582</v>
      </c>
      <c r="M68">
        <v>527634</v>
      </c>
      <c r="N68">
        <v>18272</v>
      </c>
      <c r="O68">
        <v>50.884700000000002</v>
      </c>
      <c r="P68">
        <v>1.0056</v>
      </c>
      <c r="Q68">
        <v>0.01</v>
      </c>
    </row>
    <row r="69" spans="1:17" x14ac:dyDescent="0.35">
      <c r="A69">
        <v>118</v>
      </c>
      <c r="B69" t="s">
        <v>223</v>
      </c>
      <c r="C69" t="s">
        <v>224</v>
      </c>
      <c r="D69" t="s">
        <v>225</v>
      </c>
      <c r="E69" t="s">
        <v>24</v>
      </c>
      <c r="F69">
        <v>5540745</v>
      </c>
      <c r="G69">
        <v>5529468</v>
      </c>
      <c r="H69">
        <v>5479461</v>
      </c>
      <c r="I69">
        <v>5363271</v>
      </c>
      <c r="J69">
        <v>5176209</v>
      </c>
      <c r="K69">
        <v>4986545</v>
      </c>
      <c r="L69">
        <v>4779418</v>
      </c>
      <c r="M69">
        <v>4606621</v>
      </c>
      <c r="N69">
        <v>338424</v>
      </c>
      <c r="O69">
        <v>16.372199999999999</v>
      </c>
      <c r="P69">
        <v>1.0008999999999999</v>
      </c>
      <c r="Q69">
        <v>7.0000000000000007E-2</v>
      </c>
    </row>
    <row r="70" spans="1:17" x14ac:dyDescent="0.35">
      <c r="A70">
        <v>23</v>
      </c>
      <c r="B70" t="s">
        <v>226</v>
      </c>
      <c r="C70" t="s">
        <v>227</v>
      </c>
      <c r="D70" t="s">
        <v>228</v>
      </c>
      <c r="E70" t="s">
        <v>24</v>
      </c>
      <c r="F70">
        <v>64626628</v>
      </c>
      <c r="G70">
        <v>64480053</v>
      </c>
      <c r="H70">
        <v>63809769</v>
      </c>
      <c r="I70">
        <v>62444567</v>
      </c>
      <c r="J70">
        <v>58665453</v>
      </c>
      <c r="K70">
        <v>56412897</v>
      </c>
      <c r="L70">
        <v>53713830</v>
      </c>
      <c r="M70">
        <v>50523586</v>
      </c>
      <c r="N70">
        <v>551695</v>
      </c>
      <c r="O70">
        <v>117.14190000000001</v>
      </c>
      <c r="P70">
        <v>1.0015000000000001</v>
      </c>
      <c r="Q70">
        <v>0.81</v>
      </c>
    </row>
    <row r="71" spans="1:17" x14ac:dyDescent="0.35">
      <c r="A71">
        <v>184</v>
      </c>
      <c r="B71" t="s">
        <v>229</v>
      </c>
      <c r="C71" t="s">
        <v>230</v>
      </c>
      <c r="D71" t="s">
        <v>231</v>
      </c>
      <c r="E71" t="s">
        <v>49</v>
      </c>
      <c r="F71">
        <v>304557</v>
      </c>
      <c r="G71">
        <v>290969</v>
      </c>
      <c r="H71">
        <v>257026</v>
      </c>
      <c r="I71">
        <v>228453</v>
      </c>
      <c r="J71">
        <v>164351</v>
      </c>
      <c r="K71">
        <v>113931</v>
      </c>
      <c r="L71">
        <v>66825</v>
      </c>
      <c r="M71">
        <v>46484</v>
      </c>
      <c r="N71">
        <v>83534</v>
      </c>
      <c r="O71">
        <v>3.6459000000000001</v>
      </c>
      <c r="P71">
        <v>1.0239</v>
      </c>
      <c r="Q71">
        <v>0</v>
      </c>
    </row>
    <row r="72" spans="1:17" x14ac:dyDescent="0.35">
      <c r="A72">
        <v>183</v>
      </c>
      <c r="B72" t="s">
        <v>232</v>
      </c>
      <c r="C72" t="s">
        <v>233</v>
      </c>
      <c r="D72" t="s">
        <v>234</v>
      </c>
      <c r="E72" t="s">
        <v>32</v>
      </c>
      <c r="F72">
        <v>306279</v>
      </c>
      <c r="G72">
        <v>301920</v>
      </c>
      <c r="H72">
        <v>291787</v>
      </c>
      <c r="I72">
        <v>283788</v>
      </c>
      <c r="J72">
        <v>250927</v>
      </c>
      <c r="K72">
        <v>211089</v>
      </c>
      <c r="L72">
        <v>163591</v>
      </c>
      <c r="M72">
        <v>117891</v>
      </c>
      <c r="N72">
        <v>4167</v>
      </c>
      <c r="O72">
        <v>73.501099999999994</v>
      </c>
      <c r="P72">
        <v>1.0074000000000001</v>
      </c>
      <c r="Q72">
        <v>0</v>
      </c>
    </row>
    <row r="73" spans="1:17" x14ac:dyDescent="0.35">
      <c r="A73">
        <v>146</v>
      </c>
      <c r="B73" t="s">
        <v>235</v>
      </c>
      <c r="C73" t="s">
        <v>236</v>
      </c>
      <c r="D73" t="s">
        <v>237</v>
      </c>
      <c r="E73" t="s">
        <v>28</v>
      </c>
      <c r="F73">
        <v>2388992</v>
      </c>
      <c r="G73">
        <v>2292573</v>
      </c>
      <c r="H73">
        <v>2028517</v>
      </c>
      <c r="I73">
        <v>1711105</v>
      </c>
      <c r="J73">
        <v>1272935</v>
      </c>
      <c r="K73">
        <v>983028</v>
      </c>
      <c r="L73">
        <v>749078</v>
      </c>
      <c r="M73">
        <v>597192</v>
      </c>
      <c r="N73">
        <v>267668</v>
      </c>
      <c r="O73">
        <v>8.9252000000000002</v>
      </c>
      <c r="P73">
        <v>1.0204</v>
      </c>
      <c r="Q73">
        <v>0.03</v>
      </c>
    </row>
    <row r="74" spans="1:17" x14ac:dyDescent="0.35">
      <c r="A74">
        <v>142</v>
      </c>
      <c r="B74" t="s">
        <v>238</v>
      </c>
      <c r="C74" t="s">
        <v>239</v>
      </c>
      <c r="D74" t="s">
        <v>240</v>
      </c>
      <c r="E74" t="s">
        <v>28</v>
      </c>
      <c r="F74">
        <v>2705992</v>
      </c>
      <c r="G74">
        <v>2573995</v>
      </c>
      <c r="H74">
        <v>2253133</v>
      </c>
      <c r="I74">
        <v>1937275</v>
      </c>
      <c r="J74">
        <v>1437539</v>
      </c>
      <c r="K74">
        <v>1040616</v>
      </c>
      <c r="L74">
        <v>718586</v>
      </c>
      <c r="M74">
        <v>528731</v>
      </c>
      <c r="N74">
        <v>10689</v>
      </c>
      <c r="O74">
        <v>253.1567</v>
      </c>
      <c r="P74">
        <v>1.0249999999999999</v>
      </c>
      <c r="Q74">
        <v>0.03</v>
      </c>
    </row>
    <row r="75" spans="1:17" x14ac:dyDescent="0.35">
      <c r="A75">
        <v>131</v>
      </c>
      <c r="B75" t="s">
        <v>241</v>
      </c>
      <c r="C75" t="s">
        <v>242</v>
      </c>
      <c r="D75" t="s">
        <v>243</v>
      </c>
      <c r="E75" t="s">
        <v>20</v>
      </c>
      <c r="F75">
        <v>3744385</v>
      </c>
      <c r="G75">
        <v>3765912</v>
      </c>
      <c r="H75">
        <v>3771132</v>
      </c>
      <c r="I75">
        <v>3836831</v>
      </c>
      <c r="J75">
        <v>4265172</v>
      </c>
      <c r="K75">
        <v>5391636</v>
      </c>
      <c r="L75">
        <v>5145843</v>
      </c>
      <c r="M75">
        <v>4800426</v>
      </c>
      <c r="N75">
        <v>69700</v>
      </c>
      <c r="O75">
        <v>53.721400000000003</v>
      </c>
      <c r="P75">
        <v>0.99639999999999995</v>
      </c>
      <c r="Q75">
        <v>0.05</v>
      </c>
    </row>
    <row r="76" spans="1:17" x14ac:dyDescent="0.35">
      <c r="A76">
        <v>19</v>
      </c>
      <c r="B76" t="s">
        <v>244</v>
      </c>
      <c r="C76" t="s">
        <v>245</v>
      </c>
      <c r="D76" t="s">
        <v>246</v>
      </c>
      <c r="E76" t="s">
        <v>24</v>
      </c>
      <c r="F76">
        <v>83369843</v>
      </c>
      <c r="G76">
        <v>83328988</v>
      </c>
      <c r="H76">
        <v>82073226</v>
      </c>
      <c r="I76">
        <v>81325090</v>
      </c>
      <c r="J76">
        <v>81551677</v>
      </c>
      <c r="K76">
        <v>79370196</v>
      </c>
      <c r="L76">
        <v>77786703</v>
      </c>
      <c r="M76">
        <v>78294583</v>
      </c>
      <c r="N76">
        <v>357114</v>
      </c>
      <c r="O76">
        <v>233.45439999999999</v>
      </c>
      <c r="P76">
        <v>0.99950000000000006</v>
      </c>
      <c r="Q76">
        <v>1.05</v>
      </c>
    </row>
    <row r="77" spans="1:17" x14ac:dyDescent="0.35">
      <c r="A77">
        <v>47</v>
      </c>
      <c r="B77" t="s">
        <v>247</v>
      </c>
      <c r="C77" t="s">
        <v>248</v>
      </c>
      <c r="D77" t="s">
        <v>249</v>
      </c>
      <c r="E77" t="s">
        <v>28</v>
      </c>
      <c r="F77">
        <v>33475870</v>
      </c>
      <c r="G77">
        <v>32180401</v>
      </c>
      <c r="H77">
        <v>28870939</v>
      </c>
      <c r="I77">
        <v>25574719</v>
      </c>
      <c r="J77">
        <v>19665502</v>
      </c>
      <c r="K77">
        <v>15446982</v>
      </c>
      <c r="L77">
        <v>11865246</v>
      </c>
      <c r="M77">
        <v>8861895</v>
      </c>
      <c r="N77">
        <v>238533</v>
      </c>
      <c r="O77">
        <v>140.34059999999999</v>
      </c>
      <c r="P77">
        <v>1.0196000000000001</v>
      </c>
      <c r="Q77">
        <v>0.42</v>
      </c>
    </row>
    <row r="78" spans="1:17" x14ac:dyDescent="0.35">
      <c r="A78">
        <v>219</v>
      </c>
      <c r="B78" t="s">
        <v>250</v>
      </c>
      <c r="C78" t="s">
        <v>251</v>
      </c>
      <c r="D78" t="s">
        <v>251</v>
      </c>
      <c r="E78" t="s">
        <v>24</v>
      </c>
      <c r="F78">
        <v>32649</v>
      </c>
      <c r="G78">
        <v>32709</v>
      </c>
      <c r="H78">
        <v>32520</v>
      </c>
      <c r="I78">
        <v>31262</v>
      </c>
      <c r="J78">
        <v>27741</v>
      </c>
      <c r="K78">
        <v>27317</v>
      </c>
      <c r="L78">
        <v>28734</v>
      </c>
      <c r="M78">
        <v>26685</v>
      </c>
      <c r="N78">
        <v>6</v>
      </c>
      <c r="O78">
        <v>5441.5</v>
      </c>
      <c r="P78">
        <v>0.99939999999999996</v>
      </c>
      <c r="Q78">
        <v>0</v>
      </c>
    </row>
    <row r="79" spans="1:17" x14ac:dyDescent="0.35">
      <c r="A79">
        <v>90</v>
      </c>
      <c r="B79" t="s">
        <v>252</v>
      </c>
      <c r="C79" t="s">
        <v>253</v>
      </c>
      <c r="D79" t="s">
        <v>254</v>
      </c>
      <c r="E79" t="s">
        <v>24</v>
      </c>
      <c r="F79">
        <v>10384971</v>
      </c>
      <c r="G79">
        <v>10512232</v>
      </c>
      <c r="H79">
        <v>10806641</v>
      </c>
      <c r="I79">
        <v>11033783</v>
      </c>
      <c r="J79">
        <v>11038109</v>
      </c>
      <c r="K79">
        <v>10302255</v>
      </c>
      <c r="L79">
        <v>9307148</v>
      </c>
      <c r="M79">
        <v>8544873</v>
      </c>
      <c r="N79">
        <v>131990</v>
      </c>
      <c r="O79">
        <v>78.680000000000007</v>
      </c>
      <c r="P79">
        <v>0.99419999999999997</v>
      </c>
      <c r="Q79">
        <v>0.13</v>
      </c>
    </row>
    <row r="80" spans="1:17" x14ac:dyDescent="0.35">
      <c r="A80">
        <v>208</v>
      </c>
      <c r="B80" t="s">
        <v>255</v>
      </c>
      <c r="C80" t="s">
        <v>256</v>
      </c>
      <c r="D80" t="s">
        <v>257</v>
      </c>
      <c r="E80" t="s">
        <v>42</v>
      </c>
      <c r="F80">
        <v>56466</v>
      </c>
      <c r="G80">
        <v>56026</v>
      </c>
      <c r="H80">
        <v>55895</v>
      </c>
      <c r="I80">
        <v>56351</v>
      </c>
      <c r="J80">
        <v>56184</v>
      </c>
      <c r="K80">
        <v>55599</v>
      </c>
      <c r="L80">
        <v>50106</v>
      </c>
      <c r="M80">
        <v>45434</v>
      </c>
      <c r="N80">
        <v>2166086</v>
      </c>
      <c r="O80">
        <v>2.6100000000000002E-2</v>
      </c>
      <c r="P80">
        <v>1.004</v>
      </c>
      <c r="Q80">
        <v>0</v>
      </c>
    </row>
    <row r="81" spans="1:17" x14ac:dyDescent="0.35">
      <c r="A81">
        <v>193</v>
      </c>
      <c r="B81" t="s">
        <v>258</v>
      </c>
      <c r="C81" t="s">
        <v>259</v>
      </c>
      <c r="D81" t="s">
        <v>260</v>
      </c>
      <c r="E81" t="s">
        <v>42</v>
      </c>
      <c r="F81">
        <v>125438</v>
      </c>
      <c r="G81">
        <v>123663</v>
      </c>
      <c r="H81">
        <v>118980</v>
      </c>
      <c r="I81">
        <v>114039</v>
      </c>
      <c r="J81">
        <v>107432</v>
      </c>
      <c r="K81">
        <v>99047</v>
      </c>
      <c r="L81">
        <v>94838</v>
      </c>
      <c r="M81">
        <v>98794</v>
      </c>
      <c r="N81">
        <v>344</v>
      </c>
      <c r="O81">
        <v>364.64530000000002</v>
      </c>
      <c r="P81">
        <v>1.0065999999999999</v>
      </c>
      <c r="Q81">
        <v>0</v>
      </c>
    </row>
    <row r="82" spans="1:17" x14ac:dyDescent="0.35">
      <c r="A82">
        <v>178</v>
      </c>
      <c r="B82" t="s">
        <v>261</v>
      </c>
      <c r="C82" t="s">
        <v>262</v>
      </c>
      <c r="D82" t="s">
        <v>263</v>
      </c>
      <c r="E82" t="s">
        <v>42</v>
      </c>
      <c r="F82">
        <v>395752</v>
      </c>
      <c r="G82">
        <v>395642</v>
      </c>
      <c r="H82">
        <v>399089</v>
      </c>
      <c r="I82">
        <v>403072</v>
      </c>
      <c r="J82">
        <v>424067</v>
      </c>
      <c r="K82">
        <v>391951</v>
      </c>
      <c r="L82">
        <v>334234</v>
      </c>
      <c r="M82">
        <v>318310</v>
      </c>
      <c r="N82">
        <v>1628</v>
      </c>
      <c r="O82">
        <v>243.0909</v>
      </c>
      <c r="P82">
        <v>0.99919999999999998</v>
      </c>
      <c r="Q82">
        <v>0</v>
      </c>
    </row>
    <row r="83" spans="1:17" x14ac:dyDescent="0.35">
      <c r="A83">
        <v>191</v>
      </c>
      <c r="B83" t="s">
        <v>264</v>
      </c>
      <c r="C83" t="s">
        <v>265</v>
      </c>
      <c r="D83" t="s">
        <v>266</v>
      </c>
      <c r="E83" t="s">
        <v>32</v>
      </c>
      <c r="F83">
        <v>171774</v>
      </c>
      <c r="G83">
        <v>169231</v>
      </c>
      <c r="H83">
        <v>167978</v>
      </c>
      <c r="I83">
        <v>164905</v>
      </c>
      <c r="J83">
        <v>160188</v>
      </c>
      <c r="K83">
        <v>138263</v>
      </c>
      <c r="L83">
        <v>110286</v>
      </c>
      <c r="M83">
        <v>88300</v>
      </c>
      <c r="N83">
        <v>549</v>
      </c>
      <c r="O83">
        <v>312.8852</v>
      </c>
      <c r="P83">
        <v>1.0073000000000001</v>
      </c>
      <c r="Q83">
        <v>0</v>
      </c>
    </row>
    <row r="84" spans="1:17" x14ac:dyDescent="0.35">
      <c r="A84">
        <v>68</v>
      </c>
      <c r="B84" t="s">
        <v>267</v>
      </c>
      <c r="C84" t="s">
        <v>268</v>
      </c>
      <c r="D84" t="s">
        <v>269</v>
      </c>
      <c r="E84" t="s">
        <v>42</v>
      </c>
      <c r="F84">
        <v>17843908</v>
      </c>
      <c r="G84">
        <v>17362718</v>
      </c>
      <c r="H84">
        <v>16001107</v>
      </c>
      <c r="I84">
        <v>14543121</v>
      </c>
      <c r="J84">
        <v>11735894</v>
      </c>
      <c r="K84">
        <v>9084780</v>
      </c>
      <c r="L84">
        <v>6987767</v>
      </c>
      <c r="M84">
        <v>5453208</v>
      </c>
      <c r="N84">
        <v>108889</v>
      </c>
      <c r="O84">
        <v>163.8725</v>
      </c>
      <c r="P84">
        <v>1.0134000000000001</v>
      </c>
      <c r="Q84">
        <v>0.22</v>
      </c>
    </row>
    <row r="85" spans="1:17" x14ac:dyDescent="0.35">
      <c r="A85">
        <v>207</v>
      </c>
      <c r="B85" t="s">
        <v>270</v>
      </c>
      <c r="C85" t="s">
        <v>271</v>
      </c>
      <c r="D85" t="s">
        <v>272</v>
      </c>
      <c r="E85" t="s">
        <v>24</v>
      </c>
      <c r="F85">
        <v>63301</v>
      </c>
      <c r="G85">
        <v>62794</v>
      </c>
      <c r="H85">
        <v>61629</v>
      </c>
      <c r="I85">
        <v>60782</v>
      </c>
      <c r="J85">
        <v>59114</v>
      </c>
      <c r="K85">
        <v>57727</v>
      </c>
      <c r="L85">
        <v>52860</v>
      </c>
      <c r="M85">
        <v>52656</v>
      </c>
      <c r="N85">
        <v>78</v>
      </c>
      <c r="O85">
        <v>811.55129999999997</v>
      </c>
      <c r="P85">
        <v>1.0037</v>
      </c>
      <c r="Q85">
        <v>0</v>
      </c>
    </row>
    <row r="86" spans="1:17" x14ac:dyDescent="0.35">
      <c r="A86">
        <v>75</v>
      </c>
      <c r="B86" t="s">
        <v>273</v>
      </c>
      <c r="C86" t="s">
        <v>274</v>
      </c>
      <c r="D86" t="s">
        <v>275</v>
      </c>
      <c r="E86" t="s">
        <v>28</v>
      </c>
      <c r="F86">
        <v>13859341</v>
      </c>
      <c r="G86">
        <v>13205153</v>
      </c>
      <c r="H86">
        <v>11625998</v>
      </c>
      <c r="I86">
        <v>10270728</v>
      </c>
      <c r="J86">
        <v>8336967</v>
      </c>
      <c r="K86">
        <v>6354145</v>
      </c>
      <c r="L86">
        <v>4972609</v>
      </c>
      <c r="M86">
        <v>4222374</v>
      </c>
      <c r="N86">
        <v>245857</v>
      </c>
      <c r="O86">
        <v>56.371600000000001</v>
      </c>
      <c r="P86">
        <v>1.0242</v>
      </c>
      <c r="Q86">
        <v>0.17</v>
      </c>
    </row>
    <row r="87" spans="1:17" x14ac:dyDescent="0.35">
      <c r="A87">
        <v>149</v>
      </c>
      <c r="B87" t="s">
        <v>276</v>
      </c>
      <c r="C87" t="s">
        <v>277</v>
      </c>
      <c r="D87" t="s">
        <v>278</v>
      </c>
      <c r="E87" t="s">
        <v>28</v>
      </c>
      <c r="F87">
        <v>2105566</v>
      </c>
      <c r="G87">
        <v>2015828</v>
      </c>
      <c r="H87">
        <v>1788919</v>
      </c>
      <c r="I87">
        <v>1567220</v>
      </c>
      <c r="J87">
        <v>1230849</v>
      </c>
      <c r="K87">
        <v>973551</v>
      </c>
      <c r="L87">
        <v>831462</v>
      </c>
      <c r="M87">
        <v>591663</v>
      </c>
      <c r="N87">
        <v>36125</v>
      </c>
      <c r="O87">
        <v>58.285600000000002</v>
      </c>
      <c r="P87">
        <v>1.0218</v>
      </c>
      <c r="Q87">
        <v>0.03</v>
      </c>
    </row>
    <row r="88" spans="1:17" x14ac:dyDescent="0.35">
      <c r="A88">
        <v>164</v>
      </c>
      <c r="B88" t="s">
        <v>279</v>
      </c>
      <c r="C88" t="s">
        <v>280</v>
      </c>
      <c r="D88" t="s">
        <v>281</v>
      </c>
      <c r="E88" t="s">
        <v>49</v>
      </c>
      <c r="F88">
        <v>808726</v>
      </c>
      <c r="G88">
        <v>797202</v>
      </c>
      <c r="H88">
        <v>755031</v>
      </c>
      <c r="I88">
        <v>747932</v>
      </c>
      <c r="J88">
        <v>759051</v>
      </c>
      <c r="K88">
        <v>747116</v>
      </c>
      <c r="L88">
        <v>778176</v>
      </c>
      <c r="M88">
        <v>705261</v>
      </c>
      <c r="N88">
        <v>214969</v>
      </c>
      <c r="O88">
        <v>3.7621000000000002</v>
      </c>
      <c r="P88">
        <v>1.0052000000000001</v>
      </c>
      <c r="Q88">
        <v>0.01</v>
      </c>
    </row>
    <row r="89" spans="1:17" x14ac:dyDescent="0.35">
      <c r="A89">
        <v>82</v>
      </c>
      <c r="B89" t="s">
        <v>282</v>
      </c>
      <c r="C89" t="s">
        <v>283</v>
      </c>
      <c r="D89" t="s">
        <v>284</v>
      </c>
      <c r="E89" t="s">
        <v>42</v>
      </c>
      <c r="F89">
        <v>11584996</v>
      </c>
      <c r="G89">
        <v>11306801</v>
      </c>
      <c r="H89">
        <v>10563757</v>
      </c>
      <c r="I89">
        <v>9842880</v>
      </c>
      <c r="J89">
        <v>8360225</v>
      </c>
      <c r="K89">
        <v>6925331</v>
      </c>
      <c r="L89">
        <v>5646676</v>
      </c>
      <c r="M89">
        <v>4680812</v>
      </c>
      <c r="N89">
        <v>27750</v>
      </c>
      <c r="O89">
        <v>417.47730000000001</v>
      </c>
      <c r="P89">
        <v>1.012</v>
      </c>
      <c r="Q89">
        <v>0.15</v>
      </c>
    </row>
    <row r="90" spans="1:17" x14ac:dyDescent="0.35">
      <c r="A90">
        <v>89</v>
      </c>
      <c r="B90" t="s">
        <v>285</v>
      </c>
      <c r="C90" t="s">
        <v>286</v>
      </c>
      <c r="D90" t="s">
        <v>287</v>
      </c>
      <c r="E90" t="s">
        <v>42</v>
      </c>
      <c r="F90">
        <v>10432860</v>
      </c>
      <c r="G90">
        <v>10121763</v>
      </c>
      <c r="H90">
        <v>9294505</v>
      </c>
      <c r="I90">
        <v>8450933</v>
      </c>
      <c r="J90">
        <v>6656725</v>
      </c>
      <c r="K90">
        <v>5053234</v>
      </c>
      <c r="L90">
        <v>3777990</v>
      </c>
      <c r="M90">
        <v>2782753</v>
      </c>
      <c r="N90">
        <v>112492</v>
      </c>
      <c r="O90">
        <v>92.743099999999998</v>
      </c>
      <c r="P90">
        <v>1.0149999999999999</v>
      </c>
      <c r="Q90">
        <v>0.13</v>
      </c>
    </row>
    <row r="91" spans="1:17" x14ac:dyDescent="0.35">
      <c r="A91">
        <v>104</v>
      </c>
      <c r="B91" t="s">
        <v>288</v>
      </c>
      <c r="C91" t="s">
        <v>289</v>
      </c>
      <c r="D91" t="s">
        <v>289</v>
      </c>
      <c r="E91" t="s">
        <v>20</v>
      </c>
      <c r="F91">
        <v>7488865</v>
      </c>
      <c r="G91">
        <v>7500958</v>
      </c>
      <c r="H91">
        <v>7399838</v>
      </c>
      <c r="I91">
        <v>7132438</v>
      </c>
      <c r="J91">
        <v>6731195</v>
      </c>
      <c r="K91">
        <v>5838574</v>
      </c>
      <c r="L91">
        <v>4978544</v>
      </c>
      <c r="M91">
        <v>3955072</v>
      </c>
      <c r="N91">
        <v>1104</v>
      </c>
      <c r="O91">
        <v>6783.3922000000002</v>
      </c>
      <c r="P91">
        <v>0.99919999999999998</v>
      </c>
      <c r="Q91">
        <v>0.09</v>
      </c>
    </row>
    <row r="92" spans="1:17" x14ac:dyDescent="0.35">
      <c r="A92">
        <v>94</v>
      </c>
      <c r="B92" t="s">
        <v>290</v>
      </c>
      <c r="C92" t="s">
        <v>291</v>
      </c>
      <c r="D92" t="s">
        <v>292</v>
      </c>
      <c r="E92" t="s">
        <v>24</v>
      </c>
      <c r="F92">
        <v>9967308</v>
      </c>
      <c r="G92">
        <v>9750573</v>
      </c>
      <c r="H92">
        <v>9844246</v>
      </c>
      <c r="I92">
        <v>9986825</v>
      </c>
      <c r="J92">
        <v>10202055</v>
      </c>
      <c r="K92">
        <v>10375989</v>
      </c>
      <c r="L92">
        <v>10698679</v>
      </c>
      <c r="M92">
        <v>10315366</v>
      </c>
      <c r="N92">
        <v>93028</v>
      </c>
      <c r="O92">
        <v>107.1431</v>
      </c>
      <c r="P92">
        <v>1.0265</v>
      </c>
      <c r="Q92">
        <v>0.12</v>
      </c>
    </row>
    <row r="93" spans="1:17" x14ac:dyDescent="0.35">
      <c r="A93">
        <v>179</v>
      </c>
      <c r="B93" t="s">
        <v>293</v>
      </c>
      <c r="C93" t="s">
        <v>294</v>
      </c>
      <c r="D93" t="s">
        <v>295</v>
      </c>
      <c r="E93" t="s">
        <v>24</v>
      </c>
      <c r="F93">
        <v>372899</v>
      </c>
      <c r="G93">
        <v>366669</v>
      </c>
      <c r="H93">
        <v>331060</v>
      </c>
      <c r="I93">
        <v>318333</v>
      </c>
      <c r="J93">
        <v>281462</v>
      </c>
      <c r="K93">
        <v>255019</v>
      </c>
      <c r="L93">
        <v>228263</v>
      </c>
      <c r="M93">
        <v>204468</v>
      </c>
      <c r="N93">
        <v>103000</v>
      </c>
      <c r="O93">
        <v>3.6204000000000001</v>
      </c>
      <c r="P93">
        <v>1.0068999999999999</v>
      </c>
      <c r="Q93">
        <v>0</v>
      </c>
    </row>
    <row r="94" spans="1:17" x14ac:dyDescent="0.35">
      <c r="A94">
        <v>2</v>
      </c>
      <c r="B94" t="s">
        <v>296</v>
      </c>
      <c r="C94" t="s">
        <v>297</v>
      </c>
      <c r="D94" t="s">
        <v>298</v>
      </c>
      <c r="E94" t="s">
        <v>20</v>
      </c>
      <c r="F94">
        <v>1417173173</v>
      </c>
      <c r="G94">
        <v>1396387127</v>
      </c>
      <c r="H94">
        <v>1322866505</v>
      </c>
      <c r="I94">
        <v>1240613620</v>
      </c>
      <c r="J94">
        <v>1059633675</v>
      </c>
      <c r="K94">
        <v>870452165</v>
      </c>
      <c r="L94">
        <v>696828385</v>
      </c>
      <c r="M94">
        <v>557501301</v>
      </c>
      <c r="N94">
        <v>3287590</v>
      </c>
      <c r="O94">
        <v>431.0675</v>
      </c>
      <c r="P94">
        <v>1.0067999999999999</v>
      </c>
      <c r="Q94">
        <v>17.77</v>
      </c>
    </row>
    <row r="95" spans="1:17" x14ac:dyDescent="0.35">
      <c r="A95">
        <v>4</v>
      </c>
      <c r="B95" t="s">
        <v>299</v>
      </c>
      <c r="C95" t="s">
        <v>300</v>
      </c>
      <c r="D95" t="s">
        <v>301</v>
      </c>
      <c r="E95" t="s">
        <v>20</v>
      </c>
      <c r="F95">
        <v>275501339</v>
      </c>
      <c r="G95">
        <v>271857970</v>
      </c>
      <c r="H95">
        <v>259091970</v>
      </c>
      <c r="I95">
        <v>244016173</v>
      </c>
      <c r="J95">
        <v>214072421</v>
      </c>
      <c r="K95">
        <v>182159874</v>
      </c>
      <c r="L95">
        <v>148177096</v>
      </c>
      <c r="M95">
        <v>115228394</v>
      </c>
      <c r="N95">
        <v>1904569</v>
      </c>
      <c r="O95">
        <v>144.65289999999999</v>
      </c>
      <c r="P95">
        <v>1.0064</v>
      </c>
      <c r="Q95">
        <v>3.45</v>
      </c>
    </row>
    <row r="96" spans="1:17" x14ac:dyDescent="0.35">
      <c r="A96">
        <v>17</v>
      </c>
      <c r="B96" t="s">
        <v>302</v>
      </c>
      <c r="C96" t="s">
        <v>303</v>
      </c>
      <c r="D96" t="s">
        <v>304</v>
      </c>
      <c r="E96" t="s">
        <v>20</v>
      </c>
      <c r="F96">
        <v>88550570</v>
      </c>
      <c r="G96">
        <v>87290193</v>
      </c>
      <c r="H96">
        <v>81790841</v>
      </c>
      <c r="I96">
        <v>75373855</v>
      </c>
      <c r="J96">
        <v>65544383</v>
      </c>
      <c r="K96">
        <v>55793629</v>
      </c>
      <c r="L96">
        <v>38520664</v>
      </c>
      <c r="M96">
        <v>28449705</v>
      </c>
      <c r="N96">
        <v>1648195</v>
      </c>
      <c r="O96">
        <v>53.7258</v>
      </c>
      <c r="P96">
        <v>1.0071000000000001</v>
      </c>
      <c r="Q96">
        <v>1.1100000000000001</v>
      </c>
    </row>
    <row r="97" spans="1:17" x14ac:dyDescent="0.35">
      <c r="A97">
        <v>35</v>
      </c>
      <c r="B97" t="s">
        <v>305</v>
      </c>
      <c r="C97" t="s">
        <v>306</v>
      </c>
      <c r="D97" t="s">
        <v>307</v>
      </c>
      <c r="E97" t="s">
        <v>20</v>
      </c>
      <c r="F97">
        <v>44496122</v>
      </c>
      <c r="G97">
        <v>42556984</v>
      </c>
      <c r="H97">
        <v>37757813</v>
      </c>
      <c r="I97">
        <v>31264875</v>
      </c>
      <c r="J97">
        <v>24628858</v>
      </c>
      <c r="K97">
        <v>17658381</v>
      </c>
      <c r="L97">
        <v>13653369</v>
      </c>
      <c r="M97">
        <v>9811347</v>
      </c>
      <c r="N97">
        <v>438317</v>
      </c>
      <c r="O97">
        <v>101.5158</v>
      </c>
      <c r="P97">
        <v>1.0221</v>
      </c>
      <c r="Q97">
        <v>0.56000000000000005</v>
      </c>
    </row>
    <row r="98" spans="1:17" x14ac:dyDescent="0.35">
      <c r="A98">
        <v>125</v>
      </c>
      <c r="B98" t="s">
        <v>308</v>
      </c>
      <c r="C98" t="s">
        <v>309</v>
      </c>
      <c r="D98" t="s">
        <v>310</v>
      </c>
      <c r="E98" t="s">
        <v>24</v>
      </c>
      <c r="F98">
        <v>5023109</v>
      </c>
      <c r="G98">
        <v>4946119</v>
      </c>
      <c r="H98">
        <v>4665760</v>
      </c>
      <c r="I98">
        <v>4524585</v>
      </c>
      <c r="J98">
        <v>3768950</v>
      </c>
      <c r="K98">
        <v>3485374</v>
      </c>
      <c r="L98">
        <v>3391387</v>
      </c>
      <c r="M98">
        <v>2937637</v>
      </c>
      <c r="N98">
        <v>70273</v>
      </c>
      <c r="O98">
        <v>71.479900000000001</v>
      </c>
      <c r="P98">
        <v>1.0073000000000001</v>
      </c>
      <c r="Q98">
        <v>0.06</v>
      </c>
    </row>
    <row r="99" spans="1:17" x14ac:dyDescent="0.35">
      <c r="A99">
        <v>202</v>
      </c>
      <c r="B99" t="s">
        <v>311</v>
      </c>
      <c r="C99" t="s">
        <v>312</v>
      </c>
      <c r="D99" t="s">
        <v>313</v>
      </c>
      <c r="E99" t="s">
        <v>24</v>
      </c>
      <c r="F99">
        <v>84519</v>
      </c>
      <c r="G99">
        <v>84046</v>
      </c>
      <c r="H99">
        <v>83593</v>
      </c>
      <c r="I99">
        <v>83828</v>
      </c>
      <c r="J99">
        <v>75562</v>
      </c>
      <c r="K99">
        <v>68865</v>
      </c>
      <c r="L99">
        <v>64022</v>
      </c>
      <c r="M99">
        <v>55298</v>
      </c>
      <c r="N99">
        <v>572</v>
      </c>
      <c r="O99">
        <v>147.76050000000001</v>
      </c>
      <c r="P99">
        <v>1.0029999999999999</v>
      </c>
      <c r="Q99">
        <v>0</v>
      </c>
    </row>
    <row r="100" spans="1:17" x14ac:dyDescent="0.35">
      <c r="A100">
        <v>98</v>
      </c>
      <c r="B100" t="s">
        <v>314</v>
      </c>
      <c r="C100" t="s">
        <v>315</v>
      </c>
      <c r="D100" t="s">
        <v>316</v>
      </c>
      <c r="E100" t="s">
        <v>20</v>
      </c>
      <c r="F100">
        <v>9038309</v>
      </c>
      <c r="G100">
        <v>8757489</v>
      </c>
      <c r="H100">
        <v>8007778</v>
      </c>
      <c r="I100">
        <v>7328445</v>
      </c>
      <c r="J100">
        <v>6116958</v>
      </c>
      <c r="K100">
        <v>4803254</v>
      </c>
      <c r="L100">
        <v>3744608</v>
      </c>
      <c r="M100">
        <v>2907307</v>
      </c>
      <c r="N100">
        <v>20770</v>
      </c>
      <c r="O100">
        <v>435.1617</v>
      </c>
      <c r="P100">
        <v>1.0155000000000001</v>
      </c>
      <c r="Q100">
        <v>0.11</v>
      </c>
    </row>
    <row r="101" spans="1:17" x14ac:dyDescent="0.35">
      <c r="A101">
        <v>25</v>
      </c>
      <c r="B101" t="s">
        <v>317</v>
      </c>
      <c r="C101" t="s">
        <v>318</v>
      </c>
      <c r="D101" t="s">
        <v>319</v>
      </c>
      <c r="E101" t="s">
        <v>24</v>
      </c>
      <c r="F101">
        <v>59037474</v>
      </c>
      <c r="G101">
        <v>59500579</v>
      </c>
      <c r="H101">
        <v>60232906</v>
      </c>
      <c r="I101">
        <v>59822450</v>
      </c>
      <c r="J101">
        <v>56966397</v>
      </c>
      <c r="K101">
        <v>56756561</v>
      </c>
      <c r="L101">
        <v>56329482</v>
      </c>
      <c r="M101">
        <v>53324036</v>
      </c>
      <c r="N101">
        <v>301336</v>
      </c>
      <c r="O101">
        <v>195.91909999999999</v>
      </c>
      <c r="P101">
        <v>0.99660000000000004</v>
      </c>
      <c r="Q101">
        <v>0.74</v>
      </c>
    </row>
    <row r="102" spans="1:17" x14ac:dyDescent="0.35">
      <c r="A102">
        <v>52</v>
      </c>
      <c r="B102" t="s">
        <v>320</v>
      </c>
      <c r="C102" t="s">
        <v>321</v>
      </c>
      <c r="D102" t="s">
        <v>322</v>
      </c>
      <c r="E102" t="s">
        <v>28</v>
      </c>
      <c r="F102">
        <v>28160542</v>
      </c>
      <c r="G102">
        <v>26811790</v>
      </c>
      <c r="H102">
        <v>23596741</v>
      </c>
      <c r="I102">
        <v>21120042</v>
      </c>
      <c r="J102">
        <v>16799670</v>
      </c>
      <c r="K102">
        <v>11910540</v>
      </c>
      <c r="L102">
        <v>8303809</v>
      </c>
      <c r="M102">
        <v>5477086</v>
      </c>
      <c r="N102">
        <v>322463</v>
      </c>
      <c r="O102">
        <v>87.329499999999996</v>
      </c>
      <c r="P102">
        <v>1.0247999999999999</v>
      </c>
      <c r="Q102">
        <v>0.35</v>
      </c>
    </row>
    <row r="103" spans="1:17" x14ac:dyDescent="0.35">
      <c r="A103">
        <v>139</v>
      </c>
      <c r="B103" t="s">
        <v>323</v>
      </c>
      <c r="C103" t="s">
        <v>324</v>
      </c>
      <c r="D103" t="s">
        <v>325</v>
      </c>
      <c r="E103" t="s">
        <v>42</v>
      </c>
      <c r="F103">
        <v>2827377</v>
      </c>
      <c r="G103">
        <v>2820436</v>
      </c>
      <c r="H103">
        <v>2794445</v>
      </c>
      <c r="I103">
        <v>2733896</v>
      </c>
      <c r="J103">
        <v>2612205</v>
      </c>
      <c r="K103">
        <v>2392030</v>
      </c>
      <c r="L103">
        <v>2135546</v>
      </c>
      <c r="M103">
        <v>1859091</v>
      </c>
      <c r="N103">
        <v>10991</v>
      </c>
      <c r="O103">
        <v>257.24470000000002</v>
      </c>
      <c r="P103">
        <v>0.99990000000000001</v>
      </c>
      <c r="Q103">
        <v>0.04</v>
      </c>
    </row>
    <row r="104" spans="1:17" x14ac:dyDescent="0.35">
      <c r="A104">
        <v>11</v>
      </c>
      <c r="B104" t="s">
        <v>326</v>
      </c>
      <c r="C104" t="s">
        <v>327</v>
      </c>
      <c r="D104" t="s">
        <v>328</v>
      </c>
      <c r="E104" t="s">
        <v>20</v>
      </c>
      <c r="F104">
        <v>123951692</v>
      </c>
      <c r="G104">
        <v>125244761</v>
      </c>
      <c r="H104">
        <v>127250933</v>
      </c>
      <c r="I104">
        <v>128105431</v>
      </c>
      <c r="J104">
        <v>126803861</v>
      </c>
      <c r="K104">
        <v>123686321</v>
      </c>
      <c r="L104">
        <v>117624196</v>
      </c>
      <c r="M104">
        <v>105416839</v>
      </c>
      <c r="N104">
        <v>377930</v>
      </c>
      <c r="O104">
        <v>327.9753</v>
      </c>
      <c r="P104">
        <v>0.99470000000000003</v>
      </c>
      <c r="Q104">
        <v>1.55</v>
      </c>
    </row>
    <row r="105" spans="1:17" x14ac:dyDescent="0.35">
      <c r="A105">
        <v>195</v>
      </c>
      <c r="B105" t="s">
        <v>329</v>
      </c>
      <c r="C105" t="s">
        <v>330</v>
      </c>
      <c r="D105" t="s">
        <v>331</v>
      </c>
      <c r="E105" t="s">
        <v>24</v>
      </c>
      <c r="F105">
        <v>110778</v>
      </c>
      <c r="G105">
        <v>108319</v>
      </c>
      <c r="H105">
        <v>100561</v>
      </c>
      <c r="I105">
        <v>96151</v>
      </c>
      <c r="J105">
        <v>86192</v>
      </c>
      <c r="K105">
        <v>82874</v>
      </c>
      <c r="L105">
        <v>75124</v>
      </c>
      <c r="M105">
        <v>68347</v>
      </c>
      <c r="N105">
        <v>116</v>
      </c>
      <c r="O105">
        <v>954.9828</v>
      </c>
      <c r="P105">
        <v>1.0105999999999999</v>
      </c>
      <c r="Q105">
        <v>0</v>
      </c>
    </row>
    <row r="106" spans="1:17" x14ac:dyDescent="0.35">
      <c r="A106">
        <v>83</v>
      </c>
      <c r="B106" t="s">
        <v>332</v>
      </c>
      <c r="C106" t="s">
        <v>333</v>
      </c>
      <c r="D106" t="s">
        <v>334</v>
      </c>
      <c r="E106" t="s">
        <v>20</v>
      </c>
      <c r="F106">
        <v>11285869</v>
      </c>
      <c r="G106">
        <v>10928721</v>
      </c>
      <c r="H106">
        <v>9494246</v>
      </c>
      <c r="I106">
        <v>6931258</v>
      </c>
      <c r="J106">
        <v>5056174</v>
      </c>
      <c r="K106">
        <v>3480587</v>
      </c>
      <c r="L106">
        <v>2216903</v>
      </c>
      <c r="M106">
        <v>1557374</v>
      </c>
      <c r="N106">
        <v>89342</v>
      </c>
      <c r="O106">
        <v>126.32210000000001</v>
      </c>
      <c r="P106">
        <v>1.0123</v>
      </c>
      <c r="Q106">
        <v>0.14000000000000001</v>
      </c>
    </row>
    <row r="107" spans="1:17" x14ac:dyDescent="0.35">
      <c r="A107">
        <v>66</v>
      </c>
      <c r="B107" t="s">
        <v>335</v>
      </c>
      <c r="C107" t="s">
        <v>336</v>
      </c>
      <c r="D107" t="s">
        <v>337</v>
      </c>
      <c r="E107" t="s">
        <v>20</v>
      </c>
      <c r="F107">
        <v>19397998</v>
      </c>
      <c r="G107">
        <v>18979243</v>
      </c>
      <c r="H107">
        <v>17835909</v>
      </c>
      <c r="I107">
        <v>16627837</v>
      </c>
      <c r="J107">
        <v>15236253</v>
      </c>
      <c r="K107">
        <v>16866563</v>
      </c>
      <c r="L107">
        <v>14172710</v>
      </c>
      <c r="M107">
        <v>12265305</v>
      </c>
      <c r="N107">
        <v>2724900</v>
      </c>
      <c r="O107">
        <v>7.1188000000000002</v>
      </c>
      <c r="P107">
        <v>1.0105</v>
      </c>
      <c r="Q107">
        <v>0.24</v>
      </c>
    </row>
    <row r="108" spans="1:17" x14ac:dyDescent="0.35">
      <c r="A108">
        <v>27</v>
      </c>
      <c r="B108" t="s">
        <v>338</v>
      </c>
      <c r="C108" t="s">
        <v>339</v>
      </c>
      <c r="D108" t="s">
        <v>340</v>
      </c>
      <c r="E108" t="s">
        <v>28</v>
      </c>
      <c r="F108">
        <v>54027487</v>
      </c>
      <c r="G108">
        <v>51985780</v>
      </c>
      <c r="H108">
        <v>46851488</v>
      </c>
      <c r="I108">
        <v>41517895</v>
      </c>
      <c r="J108">
        <v>30851606</v>
      </c>
      <c r="K108">
        <v>23162269</v>
      </c>
      <c r="L108">
        <v>16187124</v>
      </c>
      <c r="M108">
        <v>11473087</v>
      </c>
      <c r="N108">
        <v>580367</v>
      </c>
      <c r="O108">
        <v>93.091899999999995</v>
      </c>
      <c r="P108">
        <v>1.0193000000000001</v>
      </c>
      <c r="Q108">
        <v>0.68</v>
      </c>
    </row>
    <row r="109" spans="1:17" x14ac:dyDescent="0.35">
      <c r="A109">
        <v>192</v>
      </c>
      <c r="B109" t="s">
        <v>341</v>
      </c>
      <c r="C109" t="s">
        <v>342</v>
      </c>
      <c r="D109" t="s">
        <v>343</v>
      </c>
      <c r="E109" t="s">
        <v>32</v>
      </c>
      <c r="F109">
        <v>131232</v>
      </c>
      <c r="G109">
        <v>126463</v>
      </c>
      <c r="H109">
        <v>116707</v>
      </c>
      <c r="I109">
        <v>107995</v>
      </c>
      <c r="J109">
        <v>88826</v>
      </c>
      <c r="K109">
        <v>75124</v>
      </c>
      <c r="L109">
        <v>60813</v>
      </c>
      <c r="M109">
        <v>57437</v>
      </c>
      <c r="N109">
        <v>811</v>
      </c>
      <c r="O109">
        <v>161.815</v>
      </c>
      <c r="P109">
        <v>1.0183</v>
      </c>
      <c r="Q109">
        <v>0</v>
      </c>
    </row>
    <row r="110" spans="1:17" x14ac:dyDescent="0.35">
      <c r="A110">
        <v>129</v>
      </c>
      <c r="B110" t="s">
        <v>344</v>
      </c>
      <c r="C110" t="s">
        <v>345</v>
      </c>
      <c r="D110" t="s">
        <v>346</v>
      </c>
      <c r="E110" t="s">
        <v>20</v>
      </c>
      <c r="F110">
        <v>4268873</v>
      </c>
      <c r="G110">
        <v>4360444</v>
      </c>
      <c r="H110">
        <v>3908743</v>
      </c>
      <c r="I110">
        <v>2943356</v>
      </c>
      <c r="J110">
        <v>1934901</v>
      </c>
      <c r="K110">
        <v>1674938</v>
      </c>
      <c r="L110">
        <v>1493870</v>
      </c>
      <c r="M110">
        <v>802786</v>
      </c>
      <c r="N110">
        <v>17818</v>
      </c>
      <c r="O110">
        <v>239.5821</v>
      </c>
      <c r="P110">
        <v>1.0044</v>
      </c>
      <c r="Q110">
        <v>0.05</v>
      </c>
    </row>
    <row r="111" spans="1:17" x14ac:dyDescent="0.35">
      <c r="A111">
        <v>110</v>
      </c>
      <c r="B111" t="s">
        <v>347</v>
      </c>
      <c r="C111" t="s">
        <v>348</v>
      </c>
      <c r="D111" t="s">
        <v>349</v>
      </c>
      <c r="E111" t="s">
        <v>20</v>
      </c>
      <c r="F111">
        <v>6630623</v>
      </c>
      <c r="G111">
        <v>6424874</v>
      </c>
      <c r="H111">
        <v>5914980</v>
      </c>
      <c r="I111">
        <v>5483774</v>
      </c>
      <c r="J111">
        <v>4935182</v>
      </c>
      <c r="K111">
        <v>4394734</v>
      </c>
      <c r="L111">
        <v>3691209</v>
      </c>
      <c r="M111">
        <v>3016384</v>
      </c>
      <c r="N111">
        <v>199951</v>
      </c>
      <c r="O111">
        <v>33.161200000000001</v>
      </c>
      <c r="P111">
        <v>1.0158</v>
      </c>
      <c r="Q111">
        <v>0.08</v>
      </c>
    </row>
    <row r="112" spans="1:17" x14ac:dyDescent="0.35">
      <c r="A112">
        <v>103</v>
      </c>
      <c r="B112" t="s">
        <v>350</v>
      </c>
      <c r="C112" t="s">
        <v>351</v>
      </c>
      <c r="D112" t="s">
        <v>352</v>
      </c>
      <c r="E112" t="s">
        <v>20</v>
      </c>
      <c r="F112">
        <v>7529475</v>
      </c>
      <c r="G112">
        <v>7319399</v>
      </c>
      <c r="H112">
        <v>6787419</v>
      </c>
      <c r="I112">
        <v>6323418</v>
      </c>
      <c r="J112">
        <v>5430853</v>
      </c>
      <c r="K112">
        <v>4314443</v>
      </c>
      <c r="L112">
        <v>3297519</v>
      </c>
      <c r="M112">
        <v>2675283</v>
      </c>
      <c r="N112">
        <v>236800</v>
      </c>
      <c r="O112">
        <v>31.796800000000001</v>
      </c>
      <c r="P112">
        <v>1.0141</v>
      </c>
      <c r="Q112">
        <v>0.09</v>
      </c>
    </row>
    <row r="113" spans="1:17" x14ac:dyDescent="0.35">
      <c r="A113">
        <v>151</v>
      </c>
      <c r="B113" t="s">
        <v>353</v>
      </c>
      <c r="C113" t="s">
        <v>354</v>
      </c>
      <c r="D113" t="s">
        <v>355</v>
      </c>
      <c r="E113" t="s">
        <v>24</v>
      </c>
      <c r="F113">
        <v>1850651</v>
      </c>
      <c r="G113">
        <v>1897052</v>
      </c>
      <c r="H113">
        <v>1991955</v>
      </c>
      <c r="I113">
        <v>2101530</v>
      </c>
      <c r="J113">
        <v>2392530</v>
      </c>
      <c r="K113">
        <v>2689391</v>
      </c>
      <c r="L113">
        <v>2572037</v>
      </c>
      <c r="M113">
        <v>2397414</v>
      </c>
      <c r="N113">
        <v>64559</v>
      </c>
      <c r="O113">
        <v>28.666</v>
      </c>
      <c r="P113">
        <v>0.98760000000000003</v>
      </c>
      <c r="Q113">
        <v>0.02</v>
      </c>
    </row>
    <row r="114" spans="1:17" x14ac:dyDescent="0.35">
      <c r="A114">
        <v>119</v>
      </c>
      <c r="B114" t="s">
        <v>356</v>
      </c>
      <c r="C114" t="s">
        <v>357</v>
      </c>
      <c r="D114" t="s">
        <v>358</v>
      </c>
      <c r="E114" t="s">
        <v>20</v>
      </c>
      <c r="F114">
        <v>5489739</v>
      </c>
      <c r="G114">
        <v>5662923</v>
      </c>
      <c r="H114">
        <v>6398940</v>
      </c>
      <c r="I114">
        <v>4995800</v>
      </c>
      <c r="J114">
        <v>4320642</v>
      </c>
      <c r="K114">
        <v>3593700</v>
      </c>
      <c r="L114">
        <v>2963702</v>
      </c>
      <c r="M114">
        <v>2381791</v>
      </c>
      <c r="N114">
        <v>10452</v>
      </c>
      <c r="O114">
        <v>525.23339999999996</v>
      </c>
      <c r="P114">
        <v>0.98160000000000003</v>
      </c>
      <c r="Q114">
        <v>7.0000000000000007E-2</v>
      </c>
    </row>
    <row r="115" spans="1:17" x14ac:dyDescent="0.35">
      <c r="A115">
        <v>147</v>
      </c>
      <c r="B115" t="s">
        <v>359</v>
      </c>
      <c r="C115" t="s">
        <v>360</v>
      </c>
      <c r="D115" t="s">
        <v>361</v>
      </c>
      <c r="E115" t="s">
        <v>28</v>
      </c>
      <c r="F115">
        <v>2305825</v>
      </c>
      <c r="G115">
        <v>2254100</v>
      </c>
      <c r="H115">
        <v>2118521</v>
      </c>
      <c r="I115">
        <v>2022747</v>
      </c>
      <c r="J115">
        <v>1998630</v>
      </c>
      <c r="K115">
        <v>1798997</v>
      </c>
      <c r="L115">
        <v>1407672</v>
      </c>
      <c r="M115">
        <v>1023481</v>
      </c>
      <c r="N115">
        <v>30355</v>
      </c>
      <c r="O115">
        <v>75.962000000000003</v>
      </c>
      <c r="P115">
        <v>1.0106999999999999</v>
      </c>
      <c r="Q115">
        <v>0.03</v>
      </c>
    </row>
    <row r="116" spans="1:17" x14ac:dyDescent="0.35">
      <c r="A116">
        <v>121</v>
      </c>
      <c r="B116" t="s">
        <v>362</v>
      </c>
      <c r="C116" t="s">
        <v>363</v>
      </c>
      <c r="D116" t="s">
        <v>364</v>
      </c>
      <c r="E116" t="s">
        <v>28</v>
      </c>
      <c r="F116">
        <v>5302681</v>
      </c>
      <c r="G116">
        <v>5087584</v>
      </c>
      <c r="H116">
        <v>4612329</v>
      </c>
      <c r="I116">
        <v>4019956</v>
      </c>
      <c r="J116">
        <v>2895224</v>
      </c>
      <c r="K116">
        <v>2209731</v>
      </c>
      <c r="L116">
        <v>1932169</v>
      </c>
      <c r="M116">
        <v>1463563</v>
      </c>
      <c r="N116">
        <v>111369</v>
      </c>
      <c r="O116">
        <v>47.613599999999998</v>
      </c>
      <c r="P116">
        <v>1.0209999999999999</v>
      </c>
      <c r="Q116">
        <v>7.0000000000000007E-2</v>
      </c>
    </row>
    <row r="117" spans="1:17" x14ac:dyDescent="0.35">
      <c r="A117">
        <v>107</v>
      </c>
      <c r="B117" t="s">
        <v>365</v>
      </c>
      <c r="C117" t="s">
        <v>366</v>
      </c>
      <c r="D117" t="s">
        <v>367</v>
      </c>
      <c r="E117" t="s">
        <v>28</v>
      </c>
      <c r="F117">
        <v>6812341</v>
      </c>
      <c r="G117">
        <v>6653942</v>
      </c>
      <c r="H117">
        <v>6192235</v>
      </c>
      <c r="I117">
        <v>6491988</v>
      </c>
      <c r="J117">
        <v>5154790</v>
      </c>
      <c r="K117">
        <v>4236983</v>
      </c>
      <c r="L117">
        <v>2962720</v>
      </c>
      <c r="M117">
        <v>1909177</v>
      </c>
      <c r="N117">
        <v>1759540</v>
      </c>
      <c r="O117">
        <v>3.8717000000000001</v>
      </c>
      <c r="P117">
        <v>1.0114000000000001</v>
      </c>
      <c r="Q117">
        <v>0.09</v>
      </c>
    </row>
    <row r="118" spans="1:17" x14ac:dyDescent="0.35">
      <c r="A118">
        <v>216</v>
      </c>
      <c r="B118" t="s">
        <v>368</v>
      </c>
      <c r="C118" t="s">
        <v>369</v>
      </c>
      <c r="D118" t="s">
        <v>370</v>
      </c>
      <c r="E118" t="s">
        <v>24</v>
      </c>
      <c r="F118">
        <v>39327</v>
      </c>
      <c r="G118">
        <v>38756</v>
      </c>
      <c r="H118">
        <v>37355</v>
      </c>
      <c r="I118">
        <v>35926</v>
      </c>
      <c r="J118">
        <v>33026</v>
      </c>
      <c r="K118">
        <v>28765</v>
      </c>
      <c r="L118">
        <v>25003</v>
      </c>
      <c r="M118">
        <v>21089</v>
      </c>
      <c r="N118">
        <v>160</v>
      </c>
      <c r="O118">
        <v>245.7937</v>
      </c>
      <c r="P118">
        <v>1.0074000000000001</v>
      </c>
      <c r="Q118">
        <v>0</v>
      </c>
    </row>
    <row r="119" spans="1:17" x14ac:dyDescent="0.35">
      <c r="A119">
        <v>141</v>
      </c>
      <c r="B119" t="s">
        <v>371</v>
      </c>
      <c r="C119" t="s">
        <v>372</v>
      </c>
      <c r="D119" t="s">
        <v>373</v>
      </c>
      <c r="E119" t="s">
        <v>24</v>
      </c>
      <c r="F119">
        <v>2750055</v>
      </c>
      <c r="G119">
        <v>2820267</v>
      </c>
      <c r="H119">
        <v>2963765</v>
      </c>
      <c r="I119">
        <v>3139019</v>
      </c>
      <c r="J119">
        <v>3599637</v>
      </c>
      <c r="K119">
        <v>3785847</v>
      </c>
      <c r="L119">
        <v>3521206</v>
      </c>
      <c r="M119">
        <v>3210147</v>
      </c>
      <c r="N119">
        <v>65300</v>
      </c>
      <c r="O119">
        <v>42.114199999999997</v>
      </c>
      <c r="P119">
        <v>0.9869</v>
      </c>
      <c r="Q119">
        <v>0.03</v>
      </c>
    </row>
    <row r="120" spans="1:17" x14ac:dyDescent="0.35">
      <c r="A120">
        <v>168</v>
      </c>
      <c r="B120" t="s">
        <v>374</v>
      </c>
      <c r="C120" t="s">
        <v>375</v>
      </c>
      <c r="D120" t="s">
        <v>375</v>
      </c>
      <c r="E120" t="s">
        <v>24</v>
      </c>
      <c r="F120">
        <v>647599</v>
      </c>
      <c r="G120">
        <v>630399</v>
      </c>
      <c r="H120">
        <v>569408</v>
      </c>
      <c r="I120">
        <v>507070</v>
      </c>
      <c r="J120">
        <v>435628</v>
      </c>
      <c r="K120">
        <v>381267</v>
      </c>
      <c r="L120">
        <v>363741</v>
      </c>
      <c r="M120">
        <v>339342</v>
      </c>
      <c r="N120">
        <v>2586</v>
      </c>
      <c r="O120">
        <v>250.42500000000001</v>
      </c>
      <c r="P120">
        <v>1.0128999999999999</v>
      </c>
      <c r="Q120">
        <v>0.01</v>
      </c>
    </row>
    <row r="121" spans="1:17" x14ac:dyDescent="0.35">
      <c r="A121">
        <v>167</v>
      </c>
      <c r="B121" t="s">
        <v>376</v>
      </c>
      <c r="C121" t="s">
        <v>377</v>
      </c>
      <c r="D121" t="s">
        <v>378</v>
      </c>
      <c r="E121" t="s">
        <v>20</v>
      </c>
      <c r="F121">
        <v>695168</v>
      </c>
      <c r="G121">
        <v>676283</v>
      </c>
      <c r="H121">
        <v>615239</v>
      </c>
      <c r="I121">
        <v>557297</v>
      </c>
      <c r="J121">
        <v>431896</v>
      </c>
      <c r="K121">
        <v>350227</v>
      </c>
      <c r="L121">
        <v>245332</v>
      </c>
      <c r="M121">
        <v>247284</v>
      </c>
      <c r="N121">
        <v>30</v>
      </c>
      <c r="O121">
        <v>23172.2667</v>
      </c>
      <c r="P121">
        <v>1.0125</v>
      </c>
      <c r="Q121">
        <v>0.01</v>
      </c>
    </row>
    <row r="122" spans="1:17" x14ac:dyDescent="0.35">
      <c r="A122">
        <v>50</v>
      </c>
      <c r="B122" t="s">
        <v>379</v>
      </c>
      <c r="C122" t="s">
        <v>380</v>
      </c>
      <c r="D122" t="s">
        <v>381</v>
      </c>
      <c r="E122" t="s">
        <v>28</v>
      </c>
      <c r="F122">
        <v>29611714</v>
      </c>
      <c r="G122">
        <v>28225177</v>
      </c>
      <c r="H122">
        <v>24850912</v>
      </c>
      <c r="I122">
        <v>21731053</v>
      </c>
      <c r="J122">
        <v>16216431</v>
      </c>
      <c r="K122">
        <v>11882762</v>
      </c>
      <c r="L122">
        <v>8948162</v>
      </c>
      <c r="M122">
        <v>6639751</v>
      </c>
      <c r="N122">
        <v>587041</v>
      </c>
      <c r="O122">
        <v>50.442300000000003</v>
      </c>
      <c r="P122">
        <v>1.0241</v>
      </c>
      <c r="Q122">
        <v>0.37</v>
      </c>
    </row>
    <row r="123" spans="1:17" x14ac:dyDescent="0.35">
      <c r="A123">
        <v>62</v>
      </c>
      <c r="B123" t="s">
        <v>382</v>
      </c>
      <c r="C123" t="s">
        <v>383</v>
      </c>
      <c r="D123" t="s">
        <v>384</v>
      </c>
      <c r="E123" t="s">
        <v>28</v>
      </c>
      <c r="F123">
        <v>20405317</v>
      </c>
      <c r="G123">
        <v>19377061</v>
      </c>
      <c r="H123">
        <v>16938942</v>
      </c>
      <c r="I123">
        <v>14718422</v>
      </c>
      <c r="J123">
        <v>11229387</v>
      </c>
      <c r="K123">
        <v>9539665</v>
      </c>
      <c r="L123">
        <v>6267369</v>
      </c>
      <c r="M123">
        <v>4625141</v>
      </c>
      <c r="N123">
        <v>118484</v>
      </c>
      <c r="O123">
        <v>172.22</v>
      </c>
      <c r="P123">
        <v>1.0259</v>
      </c>
      <c r="Q123">
        <v>0.26</v>
      </c>
    </row>
    <row r="124" spans="1:17" x14ac:dyDescent="0.35">
      <c r="A124">
        <v>45</v>
      </c>
      <c r="B124" t="s">
        <v>385</v>
      </c>
      <c r="C124" t="s">
        <v>386</v>
      </c>
      <c r="D124" t="s">
        <v>387</v>
      </c>
      <c r="E124" t="s">
        <v>20</v>
      </c>
      <c r="F124">
        <v>33938221</v>
      </c>
      <c r="G124">
        <v>33199993</v>
      </c>
      <c r="H124">
        <v>31068833</v>
      </c>
      <c r="I124">
        <v>28717731</v>
      </c>
      <c r="J124">
        <v>22945150</v>
      </c>
      <c r="K124">
        <v>17517054</v>
      </c>
      <c r="L124">
        <v>13215707</v>
      </c>
      <c r="M124">
        <v>10306508</v>
      </c>
      <c r="N124">
        <v>330803</v>
      </c>
      <c r="O124">
        <v>102.5934</v>
      </c>
      <c r="P124">
        <v>1.0108999999999999</v>
      </c>
      <c r="Q124">
        <v>0.43</v>
      </c>
    </row>
    <row r="125" spans="1:17" x14ac:dyDescent="0.35">
      <c r="A125">
        <v>174</v>
      </c>
      <c r="B125" t="s">
        <v>388</v>
      </c>
      <c r="C125" t="s">
        <v>389</v>
      </c>
      <c r="D125" t="s">
        <v>390</v>
      </c>
      <c r="E125" t="s">
        <v>20</v>
      </c>
      <c r="F125">
        <v>523787</v>
      </c>
      <c r="G125">
        <v>514438</v>
      </c>
      <c r="H125">
        <v>435582</v>
      </c>
      <c r="I125">
        <v>361575</v>
      </c>
      <c r="J125">
        <v>282507</v>
      </c>
      <c r="K125">
        <v>224957</v>
      </c>
      <c r="L125">
        <v>164887</v>
      </c>
      <c r="M125">
        <v>123243</v>
      </c>
      <c r="N125">
        <v>300</v>
      </c>
      <c r="O125">
        <v>1745.9567</v>
      </c>
      <c r="P125">
        <v>1.0044999999999999</v>
      </c>
      <c r="Q125">
        <v>0.01</v>
      </c>
    </row>
    <row r="126" spans="1:17" x14ac:dyDescent="0.35">
      <c r="A126">
        <v>59</v>
      </c>
      <c r="B126" t="s">
        <v>391</v>
      </c>
      <c r="C126" t="s">
        <v>392</v>
      </c>
      <c r="D126" t="s">
        <v>393</v>
      </c>
      <c r="E126" t="s">
        <v>28</v>
      </c>
      <c r="F126">
        <v>22593590</v>
      </c>
      <c r="G126">
        <v>21224040</v>
      </c>
      <c r="H126">
        <v>18112907</v>
      </c>
      <c r="I126">
        <v>15529181</v>
      </c>
      <c r="J126">
        <v>11239101</v>
      </c>
      <c r="K126">
        <v>8945026</v>
      </c>
      <c r="L126">
        <v>7372581</v>
      </c>
      <c r="M126">
        <v>6153587</v>
      </c>
      <c r="N126">
        <v>1240192</v>
      </c>
      <c r="O126">
        <v>18.2178</v>
      </c>
      <c r="P126">
        <v>1.0314000000000001</v>
      </c>
      <c r="Q126">
        <v>0.28000000000000003</v>
      </c>
    </row>
    <row r="127" spans="1:17" x14ac:dyDescent="0.35">
      <c r="A127">
        <v>173</v>
      </c>
      <c r="B127" t="s">
        <v>394</v>
      </c>
      <c r="C127" t="s">
        <v>395</v>
      </c>
      <c r="D127" t="s">
        <v>396</v>
      </c>
      <c r="E127" t="s">
        <v>24</v>
      </c>
      <c r="F127">
        <v>533286</v>
      </c>
      <c r="G127">
        <v>515357</v>
      </c>
      <c r="H127">
        <v>456579</v>
      </c>
      <c r="I127">
        <v>418755</v>
      </c>
      <c r="J127">
        <v>399212</v>
      </c>
      <c r="K127">
        <v>365392</v>
      </c>
      <c r="L127">
        <v>333587</v>
      </c>
      <c r="M127">
        <v>315414</v>
      </c>
      <c r="N127">
        <v>316</v>
      </c>
      <c r="O127">
        <v>1687.6139000000001</v>
      </c>
      <c r="P127">
        <v>1.0124</v>
      </c>
      <c r="Q127">
        <v>0.01</v>
      </c>
    </row>
    <row r="128" spans="1:17" x14ac:dyDescent="0.35">
      <c r="A128">
        <v>215</v>
      </c>
      <c r="B128" t="s">
        <v>397</v>
      </c>
      <c r="C128" t="s">
        <v>398</v>
      </c>
      <c r="D128" t="s">
        <v>399</v>
      </c>
      <c r="E128" t="s">
        <v>32</v>
      </c>
      <c r="F128">
        <v>41569</v>
      </c>
      <c r="G128">
        <v>43413</v>
      </c>
      <c r="H128">
        <v>49410</v>
      </c>
      <c r="I128">
        <v>53416</v>
      </c>
      <c r="J128">
        <v>54224</v>
      </c>
      <c r="K128">
        <v>46047</v>
      </c>
      <c r="L128">
        <v>31988</v>
      </c>
      <c r="M128">
        <v>23969</v>
      </c>
      <c r="N128">
        <v>181</v>
      </c>
      <c r="O128">
        <v>229.66300000000001</v>
      </c>
      <c r="P128">
        <v>0.98860000000000003</v>
      </c>
      <c r="Q128">
        <v>0</v>
      </c>
    </row>
    <row r="129" spans="1:17" x14ac:dyDescent="0.35">
      <c r="A129">
        <v>180</v>
      </c>
      <c r="B129" t="s">
        <v>400</v>
      </c>
      <c r="C129" t="s">
        <v>401</v>
      </c>
      <c r="D129" t="s">
        <v>402</v>
      </c>
      <c r="E129" t="s">
        <v>42</v>
      </c>
      <c r="F129">
        <v>367507</v>
      </c>
      <c r="G129">
        <v>370391</v>
      </c>
      <c r="H129">
        <v>383515</v>
      </c>
      <c r="I129">
        <v>392181</v>
      </c>
      <c r="J129">
        <v>432543</v>
      </c>
      <c r="K129">
        <v>374271</v>
      </c>
      <c r="L129">
        <v>333786</v>
      </c>
      <c r="M129">
        <v>326428</v>
      </c>
      <c r="N129">
        <v>1128</v>
      </c>
      <c r="O129">
        <v>325.80410000000001</v>
      </c>
      <c r="P129">
        <v>0.99650000000000005</v>
      </c>
      <c r="Q129">
        <v>0</v>
      </c>
    </row>
    <row r="130" spans="1:17" x14ac:dyDescent="0.35">
      <c r="A130">
        <v>126</v>
      </c>
      <c r="B130" t="s">
        <v>403</v>
      </c>
      <c r="C130" t="s">
        <v>404</v>
      </c>
      <c r="D130" t="s">
        <v>405</v>
      </c>
      <c r="E130" t="s">
        <v>28</v>
      </c>
      <c r="F130">
        <v>4736139</v>
      </c>
      <c r="G130">
        <v>4498604</v>
      </c>
      <c r="H130">
        <v>3946220</v>
      </c>
      <c r="I130">
        <v>3419461</v>
      </c>
      <c r="J130">
        <v>2695003</v>
      </c>
      <c r="K130">
        <v>2006027</v>
      </c>
      <c r="L130">
        <v>1506694</v>
      </c>
      <c r="M130">
        <v>1122198</v>
      </c>
      <c r="N130">
        <v>1030700</v>
      </c>
      <c r="O130">
        <v>4.5951000000000004</v>
      </c>
      <c r="P130">
        <v>1.0263</v>
      </c>
      <c r="Q130">
        <v>0.06</v>
      </c>
    </row>
    <row r="131" spans="1:17" x14ac:dyDescent="0.35">
      <c r="A131">
        <v>157</v>
      </c>
      <c r="B131" t="s">
        <v>406</v>
      </c>
      <c r="C131" t="s">
        <v>407</v>
      </c>
      <c r="D131" t="s">
        <v>408</v>
      </c>
      <c r="E131" t="s">
        <v>28</v>
      </c>
      <c r="F131">
        <v>1299469</v>
      </c>
      <c r="G131">
        <v>1297828</v>
      </c>
      <c r="H131">
        <v>1293153</v>
      </c>
      <c r="I131">
        <v>1283330</v>
      </c>
      <c r="J131">
        <v>1215930</v>
      </c>
      <c r="K131">
        <v>1090290</v>
      </c>
      <c r="L131">
        <v>954865</v>
      </c>
      <c r="M131">
        <v>830115</v>
      </c>
      <c r="N131">
        <v>2040</v>
      </c>
      <c r="O131">
        <v>636.99459999999999</v>
      </c>
      <c r="P131">
        <v>1.0004</v>
      </c>
      <c r="Q131">
        <v>0.02</v>
      </c>
    </row>
    <row r="132" spans="1:17" x14ac:dyDescent="0.35">
      <c r="A132">
        <v>182</v>
      </c>
      <c r="B132" t="s">
        <v>409</v>
      </c>
      <c r="C132" t="s">
        <v>410</v>
      </c>
      <c r="D132" t="s">
        <v>411</v>
      </c>
      <c r="E132" t="s">
        <v>28</v>
      </c>
      <c r="F132">
        <v>326101</v>
      </c>
      <c r="G132">
        <v>305587</v>
      </c>
      <c r="H132">
        <v>249545</v>
      </c>
      <c r="I132">
        <v>211786</v>
      </c>
      <c r="J132">
        <v>159215</v>
      </c>
      <c r="K132">
        <v>92659</v>
      </c>
      <c r="L132">
        <v>52233</v>
      </c>
      <c r="M132">
        <v>35383</v>
      </c>
      <c r="N132">
        <v>374</v>
      </c>
      <c r="O132">
        <v>871.92780000000005</v>
      </c>
      <c r="P132">
        <v>1.0319</v>
      </c>
      <c r="Q132">
        <v>0</v>
      </c>
    </row>
    <row r="133" spans="1:17" x14ac:dyDescent="0.35">
      <c r="A133">
        <v>10</v>
      </c>
      <c r="B133" t="s">
        <v>412</v>
      </c>
      <c r="C133" t="s">
        <v>413</v>
      </c>
      <c r="D133" t="s">
        <v>414</v>
      </c>
      <c r="E133" t="s">
        <v>42</v>
      </c>
      <c r="F133">
        <v>127504125</v>
      </c>
      <c r="G133">
        <v>125998302</v>
      </c>
      <c r="H133">
        <v>120149897</v>
      </c>
      <c r="I133">
        <v>112532401</v>
      </c>
      <c r="J133">
        <v>97873442</v>
      </c>
      <c r="K133">
        <v>81720428</v>
      </c>
      <c r="L133">
        <v>67705186</v>
      </c>
      <c r="M133">
        <v>50289306</v>
      </c>
      <c r="N133">
        <v>1964375</v>
      </c>
      <c r="O133">
        <v>64.908199999999994</v>
      </c>
      <c r="P133">
        <v>1.0063</v>
      </c>
      <c r="Q133">
        <v>1.6</v>
      </c>
    </row>
    <row r="134" spans="1:17" x14ac:dyDescent="0.35">
      <c r="A134">
        <v>194</v>
      </c>
      <c r="B134" t="s">
        <v>415</v>
      </c>
      <c r="C134" t="s">
        <v>416</v>
      </c>
      <c r="D134" t="s">
        <v>417</v>
      </c>
      <c r="E134" t="s">
        <v>32</v>
      </c>
      <c r="F134">
        <v>114164</v>
      </c>
      <c r="G134">
        <v>112106</v>
      </c>
      <c r="H134">
        <v>109462</v>
      </c>
      <c r="I134">
        <v>107588</v>
      </c>
      <c r="J134">
        <v>111709</v>
      </c>
      <c r="K134">
        <v>98603</v>
      </c>
      <c r="L134">
        <v>76299</v>
      </c>
      <c r="M134">
        <v>58989</v>
      </c>
      <c r="N134">
        <v>702</v>
      </c>
      <c r="O134">
        <v>162.6268</v>
      </c>
      <c r="P134">
        <v>1.0091000000000001</v>
      </c>
      <c r="Q134">
        <v>0</v>
      </c>
    </row>
    <row r="135" spans="1:17" x14ac:dyDescent="0.35">
      <c r="A135">
        <v>135</v>
      </c>
      <c r="B135" t="s">
        <v>418</v>
      </c>
      <c r="C135" t="s">
        <v>419</v>
      </c>
      <c r="D135" t="s">
        <v>420</v>
      </c>
      <c r="E135" t="s">
        <v>24</v>
      </c>
      <c r="F135">
        <v>3272996</v>
      </c>
      <c r="G135">
        <v>3084847</v>
      </c>
      <c r="H135">
        <v>3277388</v>
      </c>
      <c r="I135">
        <v>3678186</v>
      </c>
      <c r="J135">
        <v>4251573</v>
      </c>
      <c r="K135">
        <v>4480199</v>
      </c>
      <c r="L135">
        <v>4103240</v>
      </c>
      <c r="M135">
        <v>3711140</v>
      </c>
      <c r="N135">
        <v>33846</v>
      </c>
      <c r="O135">
        <v>96.702600000000004</v>
      </c>
      <c r="P135">
        <v>1.0690999999999999</v>
      </c>
      <c r="Q135">
        <v>0.04</v>
      </c>
    </row>
    <row r="136" spans="1:17" x14ac:dyDescent="0.35">
      <c r="A136">
        <v>217</v>
      </c>
      <c r="B136" t="s">
        <v>421</v>
      </c>
      <c r="C136" t="s">
        <v>422</v>
      </c>
      <c r="D136" t="s">
        <v>422</v>
      </c>
      <c r="E136" t="s">
        <v>24</v>
      </c>
      <c r="F136">
        <v>36469</v>
      </c>
      <c r="G136">
        <v>36922</v>
      </c>
      <c r="H136">
        <v>36760</v>
      </c>
      <c r="I136">
        <v>33178</v>
      </c>
      <c r="J136">
        <v>32465</v>
      </c>
      <c r="K136">
        <v>30329</v>
      </c>
      <c r="L136">
        <v>27076</v>
      </c>
      <c r="M136">
        <v>24270</v>
      </c>
      <c r="N136">
        <v>2</v>
      </c>
      <c r="O136">
        <v>18234.5</v>
      </c>
      <c r="P136">
        <v>0.99409999999999998</v>
      </c>
      <c r="Q136">
        <v>0</v>
      </c>
    </row>
    <row r="137" spans="1:17" x14ac:dyDescent="0.35">
      <c r="A137">
        <v>134</v>
      </c>
      <c r="B137" t="s">
        <v>423</v>
      </c>
      <c r="C137" t="s">
        <v>424</v>
      </c>
      <c r="D137" t="s">
        <v>425</v>
      </c>
      <c r="E137" t="s">
        <v>20</v>
      </c>
      <c r="F137">
        <v>3398366</v>
      </c>
      <c r="G137">
        <v>3294335</v>
      </c>
      <c r="H137">
        <v>2964749</v>
      </c>
      <c r="I137">
        <v>2702520</v>
      </c>
      <c r="J137">
        <v>2450979</v>
      </c>
      <c r="K137">
        <v>2161433</v>
      </c>
      <c r="L137">
        <v>1697780</v>
      </c>
      <c r="M137">
        <v>1293880</v>
      </c>
      <c r="N137">
        <v>1564110</v>
      </c>
      <c r="O137">
        <v>2.1726999999999999</v>
      </c>
      <c r="P137">
        <v>1.0150999999999999</v>
      </c>
      <c r="Q137">
        <v>0.04</v>
      </c>
    </row>
    <row r="138" spans="1:17" x14ac:dyDescent="0.35">
      <c r="A138">
        <v>169</v>
      </c>
      <c r="B138" t="s">
        <v>426</v>
      </c>
      <c r="C138" t="s">
        <v>427</v>
      </c>
      <c r="D138" t="s">
        <v>428</v>
      </c>
      <c r="E138" t="s">
        <v>24</v>
      </c>
      <c r="F138">
        <v>627082</v>
      </c>
      <c r="G138">
        <v>629048</v>
      </c>
      <c r="H138">
        <v>633966</v>
      </c>
      <c r="I138">
        <v>631044</v>
      </c>
      <c r="J138">
        <v>633324</v>
      </c>
      <c r="K138">
        <v>621442</v>
      </c>
      <c r="L138">
        <v>589324</v>
      </c>
      <c r="M138">
        <v>530268</v>
      </c>
      <c r="N138">
        <v>13812</v>
      </c>
      <c r="O138">
        <v>45.401200000000003</v>
      </c>
      <c r="P138">
        <v>0.99880000000000002</v>
      </c>
      <c r="Q138">
        <v>0.01</v>
      </c>
    </row>
    <row r="139" spans="1:17" x14ac:dyDescent="0.35">
      <c r="A139">
        <v>230</v>
      </c>
      <c r="B139" t="s">
        <v>429</v>
      </c>
      <c r="C139" t="s">
        <v>430</v>
      </c>
      <c r="D139" t="s">
        <v>431</v>
      </c>
      <c r="E139" t="s">
        <v>42</v>
      </c>
      <c r="F139">
        <v>4390</v>
      </c>
      <c r="G139">
        <v>4500</v>
      </c>
      <c r="H139">
        <v>5059</v>
      </c>
      <c r="I139">
        <v>4938</v>
      </c>
      <c r="J139">
        <v>5138</v>
      </c>
      <c r="K139">
        <v>10805</v>
      </c>
      <c r="L139">
        <v>11452</v>
      </c>
      <c r="M139">
        <v>11402</v>
      </c>
      <c r="N139">
        <v>102</v>
      </c>
      <c r="O139">
        <v>43.039200000000001</v>
      </c>
      <c r="P139">
        <v>0.99390000000000001</v>
      </c>
      <c r="Q139">
        <v>0</v>
      </c>
    </row>
    <row r="140" spans="1:17" x14ac:dyDescent="0.35">
      <c r="A140">
        <v>40</v>
      </c>
      <c r="B140" t="s">
        <v>432</v>
      </c>
      <c r="C140" t="s">
        <v>433</v>
      </c>
      <c r="D140" t="s">
        <v>434</v>
      </c>
      <c r="E140" t="s">
        <v>28</v>
      </c>
      <c r="F140">
        <v>37457971</v>
      </c>
      <c r="G140">
        <v>36688772</v>
      </c>
      <c r="H140">
        <v>34680458</v>
      </c>
      <c r="I140">
        <v>32464865</v>
      </c>
      <c r="J140">
        <v>28554415</v>
      </c>
      <c r="K140">
        <v>24570814</v>
      </c>
      <c r="L140">
        <v>19678444</v>
      </c>
      <c r="M140">
        <v>15274351</v>
      </c>
      <c r="N140">
        <v>446550</v>
      </c>
      <c r="O140">
        <v>83.882999999999996</v>
      </c>
      <c r="P140">
        <v>1.0103</v>
      </c>
      <c r="Q140">
        <v>0.47</v>
      </c>
    </row>
    <row r="141" spans="1:17" x14ac:dyDescent="0.35">
      <c r="A141">
        <v>48</v>
      </c>
      <c r="B141" t="s">
        <v>435</v>
      </c>
      <c r="C141" t="s">
        <v>436</v>
      </c>
      <c r="D141" t="s">
        <v>437</v>
      </c>
      <c r="E141" t="s">
        <v>28</v>
      </c>
      <c r="F141">
        <v>32969517</v>
      </c>
      <c r="G141">
        <v>31178239</v>
      </c>
      <c r="H141">
        <v>26843246</v>
      </c>
      <c r="I141">
        <v>23073723</v>
      </c>
      <c r="J141">
        <v>17768505</v>
      </c>
      <c r="K141">
        <v>13303459</v>
      </c>
      <c r="L141">
        <v>11413587</v>
      </c>
      <c r="M141">
        <v>8411676</v>
      </c>
      <c r="N141">
        <v>801590</v>
      </c>
      <c r="O141">
        <v>41.130200000000002</v>
      </c>
      <c r="P141">
        <v>1.0278</v>
      </c>
      <c r="Q141">
        <v>0.41</v>
      </c>
    </row>
    <row r="142" spans="1:17" x14ac:dyDescent="0.35">
      <c r="A142">
        <v>26</v>
      </c>
      <c r="B142" t="s">
        <v>438</v>
      </c>
      <c r="C142" t="s">
        <v>439</v>
      </c>
      <c r="D142" t="s">
        <v>440</v>
      </c>
      <c r="E142" t="s">
        <v>20</v>
      </c>
      <c r="F142">
        <v>54179306</v>
      </c>
      <c r="G142">
        <v>53423198</v>
      </c>
      <c r="H142">
        <v>51483949</v>
      </c>
      <c r="I142">
        <v>49390988</v>
      </c>
      <c r="J142">
        <v>45538332</v>
      </c>
      <c r="K142">
        <v>40099553</v>
      </c>
      <c r="L142">
        <v>33465781</v>
      </c>
      <c r="M142">
        <v>27284112</v>
      </c>
      <c r="N142">
        <v>676578</v>
      </c>
      <c r="O142">
        <v>80.078400000000002</v>
      </c>
      <c r="P142">
        <v>1.0071000000000001</v>
      </c>
      <c r="Q142">
        <v>0.68</v>
      </c>
    </row>
    <row r="143" spans="1:17" x14ac:dyDescent="0.35">
      <c r="A143">
        <v>145</v>
      </c>
      <c r="B143" t="s">
        <v>441</v>
      </c>
      <c r="C143" t="s">
        <v>442</v>
      </c>
      <c r="D143" t="s">
        <v>443</v>
      </c>
      <c r="E143" t="s">
        <v>28</v>
      </c>
      <c r="F143">
        <v>2567012</v>
      </c>
      <c r="G143">
        <v>2489098</v>
      </c>
      <c r="H143">
        <v>2282704</v>
      </c>
      <c r="I143">
        <v>2099271</v>
      </c>
      <c r="J143">
        <v>1819141</v>
      </c>
      <c r="K143">
        <v>1369011</v>
      </c>
      <c r="L143">
        <v>975994</v>
      </c>
      <c r="M143">
        <v>754467</v>
      </c>
      <c r="N143">
        <v>825615</v>
      </c>
      <c r="O143">
        <v>3.1092</v>
      </c>
      <c r="P143">
        <v>1.0145999999999999</v>
      </c>
      <c r="Q143">
        <v>0.03</v>
      </c>
    </row>
    <row r="144" spans="1:17" x14ac:dyDescent="0.35">
      <c r="A144">
        <v>225</v>
      </c>
      <c r="B144" t="s">
        <v>444</v>
      </c>
      <c r="C144" t="s">
        <v>445</v>
      </c>
      <c r="D144" t="s">
        <v>446</v>
      </c>
      <c r="E144" t="s">
        <v>32</v>
      </c>
      <c r="F144">
        <v>12668</v>
      </c>
      <c r="G144">
        <v>12315</v>
      </c>
      <c r="H144">
        <v>11185</v>
      </c>
      <c r="I144">
        <v>10241</v>
      </c>
      <c r="J144">
        <v>10377</v>
      </c>
      <c r="K144">
        <v>9598</v>
      </c>
      <c r="L144">
        <v>7635</v>
      </c>
      <c r="M144">
        <v>6663</v>
      </c>
      <c r="N144">
        <v>21</v>
      </c>
      <c r="O144">
        <v>603.23810000000003</v>
      </c>
      <c r="P144">
        <v>1.0125</v>
      </c>
      <c r="Q144">
        <v>0</v>
      </c>
    </row>
    <row r="145" spans="1:17" x14ac:dyDescent="0.35">
      <c r="A145">
        <v>49</v>
      </c>
      <c r="B145" t="s">
        <v>447</v>
      </c>
      <c r="C145" t="s">
        <v>448</v>
      </c>
      <c r="D145" t="s">
        <v>449</v>
      </c>
      <c r="E145" t="s">
        <v>20</v>
      </c>
      <c r="F145">
        <v>30547580</v>
      </c>
      <c r="G145">
        <v>29348627</v>
      </c>
      <c r="H145">
        <v>27610325</v>
      </c>
      <c r="I145">
        <v>27161567</v>
      </c>
      <c r="J145">
        <v>24559500</v>
      </c>
      <c r="K145">
        <v>19616530</v>
      </c>
      <c r="L145">
        <v>15600442</v>
      </c>
      <c r="M145">
        <v>12501285</v>
      </c>
      <c r="N145">
        <v>147181</v>
      </c>
      <c r="O145">
        <v>207.55109999999999</v>
      </c>
      <c r="P145">
        <v>1.0170999999999999</v>
      </c>
      <c r="Q145">
        <v>0.38</v>
      </c>
    </row>
    <row r="146" spans="1:17" x14ac:dyDescent="0.35">
      <c r="A146">
        <v>71</v>
      </c>
      <c r="B146" t="s">
        <v>450</v>
      </c>
      <c r="C146" t="s">
        <v>451</v>
      </c>
      <c r="D146" t="s">
        <v>452</v>
      </c>
      <c r="E146" t="s">
        <v>24</v>
      </c>
      <c r="F146">
        <v>17564014</v>
      </c>
      <c r="G146">
        <v>17434557</v>
      </c>
      <c r="H146">
        <v>17041107</v>
      </c>
      <c r="I146">
        <v>16617116</v>
      </c>
      <c r="J146">
        <v>15899135</v>
      </c>
      <c r="K146">
        <v>14944548</v>
      </c>
      <c r="L146">
        <v>14130387</v>
      </c>
      <c r="M146">
        <v>13037686</v>
      </c>
      <c r="N146">
        <v>41850</v>
      </c>
      <c r="O146">
        <v>419.68970000000002</v>
      </c>
      <c r="P146">
        <v>1.0036</v>
      </c>
      <c r="Q146">
        <v>0.22</v>
      </c>
    </row>
    <row r="147" spans="1:17" x14ac:dyDescent="0.35">
      <c r="A147">
        <v>185</v>
      </c>
      <c r="B147" t="s">
        <v>453</v>
      </c>
      <c r="C147" t="s">
        <v>454</v>
      </c>
      <c r="D147" t="s">
        <v>455</v>
      </c>
      <c r="E147" t="s">
        <v>32</v>
      </c>
      <c r="F147">
        <v>289950</v>
      </c>
      <c r="G147">
        <v>286403</v>
      </c>
      <c r="H147">
        <v>283032</v>
      </c>
      <c r="I147">
        <v>261426</v>
      </c>
      <c r="J147">
        <v>221537</v>
      </c>
      <c r="K147">
        <v>177264</v>
      </c>
      <c r="L147">
        <v>148599</v>
      </c>
      <c r="M147">
        <v>110982</v>
      </c>
      <c r="N147">
        <v>18575</v>
      </c>
      <c r="O147">
        <v>15.6097</v>
      </c>
      <c r="P147">
        <v>1.0075000000000001</v>
      </c>
      <c r="Q147">
        <v>0</v>
      </c>
    </row>
    <row r="148" spans="1:17" x14ac:dyDescent="0.35">
      <c r="A148">
        <v>123</v>
      </c>
      <c r="B148" t="s">
        <v>456</v>
      </c>
      <c r="C148" t="s">
        <v>457</v>
      </c>
      <c r="D148" t="s">
        <v>458</v>
      </c>
      <c r="E148" t="s">
        <v>32</v>
      </c>
      <c r="F148">
        <v>5185288</v>
      </c>
      <c r="G148">
        <v>5061133</v>
      </c>
      <c r="H148">
        <v>4590590</v>
      </c>
      <c r="I148">
        <v>4346338</v>
      </c>
      <c r="J148">
        <v>3855266</v>
      </c>
      <c r="K148">
        <v>3397389</v>
      </c>
      <c r="L148">
        <v>3147168</v>
      </c>
      <c r="M148">
        <v>2824061</v>
      </c>
      <c r="N148">
        <v>270467</v>
      </c>
      <c r="O148">
        <v>19.171600000000002</v>
      </c>
      <c r="P148">
        <v>1.0107999999999999</v>
      </c>
      <c r="Q148">
        <v>7.0000000000000007E-2</v>
      </c>
    </row>
    <row r="149" spans="1:17" x14ac:dyDescent="0.35">
      <c r="A149">
        <v>106</v>
      </c>
      <c r="B149" t="s">
        <v>459</v>
      </c>
      <c r="C149" t="s">
        <v>460</v>
      </c>
      <c r="D149" t="s">
        <v>461</v>
      </c>
      <c r="E149" t="s">
        <v>42</v>
      </c>
      <c r="F149">
        <v>6948392</v>
      </c>
      <c r="G149">
        <v>6755895</v>
      </c>
      <c r="H149">
        <v>6298598</v>
      </c>
      <c r="I149">
        <v>5855734</v>
      </c>
      <c r="J149">
        <v>5123222</v>
      </c>
      <c r="K149">
        <v>4227820</v>
      </c>
      <c r="L149">
        <v>3303309</v>
      </c>
      <c r="M149">
        <v>2444767</v>
      </c>
      <c r="N149">
        <v>130373</v>
      </c>
      <c r="O149">
        <v>53.296199999999999</v>
      </c>
      <c r="P149">
        <v>1.0143</v>
      </c>
      <c r="Q149">
        <v>0.09</v>
      </c>
    </row>
    <row r="150" spans="1:17" x14ac:dyDescent="0.35">
      <c r="A150">
        <v>54</v>
      </c>
      <c r="B150" t="s">
        <v>462</v>
      </c>
      <c r="C150" t="s">
        <v>463</v>
      </c>
      <c r="D150" t="s">
        <v>464</v>
      </c>
      <c r="E150" t="s">
        <v>28</v>
      </c>
      <c r="F150">
        <v>26207977</v>
      </c>
      <c r="G150">
        <v>24333639</v>
      </c>
      <c r="H150">
        <v>20128124</v>
      </c>
      <c r="I150">
        <v>16647543</v>
      </c>
      <c r="J150">
        <v>11622665</v>
      </c>
      <c r="K150">
        <v>8370647</v>
      </c>
      <c r="L150">
        <v>6173177</v>
      </c>
      <c r="M150">
        <v>4669708</v>
      </c>
      <c r="N150">
        <v>1267000</v>
      </c>
      <c r="O150">
        <v>20.685099999999998</v>
      </c>
      <c r="P150">
        <v>1.0378000000000001</v>
      </c>
      <c r="Q150">
        <v>0.33</v>
      </c>
    </row>
    <row r="151" spans="1:17" x14ac:dyDescent="0.35">
      <c r="A151">
        <v>6</v>
      </c>
      <c r="B151" t="s">
        <v>465</v>
      </c>
      <c r="C151" t="s">
        <v>466</v>
      </c>
      <c r="D151" t="s">
        <v>467</v>
      </c>
      <c r="E151" t="s">
        <v>28</v>
      </c>
      <c r="F151">
        <v>218541212</v>
      </c>
      <c r="G151">
        <v>208327405</v>
      </c>
      <c r="H151">
        <v>183995785</v>
      </c>
      <c r="I151">
        <v>160952853</v>
      </c>
      <c r="J151">
        <v>122851984</v>
      </c>
      <c r="K151">
        <v>95214257</v>
      </c>
      <c r="L151">
        <v>72951439</v>
      </c>
      <c r="M151">
        <v>55569264</v>
      </c>
      <c r="N151">
        <v>923768</v>
      </c>
      <c r="O151">
        <v>236.57589999999999</v>
      </c>
      <c r="P151">
        <v>1.0241</v>
      </c>
      <c r="Q151">
        <v>2.74</v>
      </c>
    </row>
    <row r="152" spans="1:17" x14ac:dyDescent="0.35">
      <c r="A152">
        <v>232</v>
      </c>
      <c r="B152" t="s">
        <v>468</v>
      </c>
      <c r="C152" t="s">
        <v>469</v>
      </c>
      <c r="D152" t="s">
        <v>470</v>
      </c>
      <c r="E152" t="s">
        <v>32</v>
      </c>
      <c r="F152">
        <v>1934</v>
      </c>
      <c r="G152">
        <v>1942</v>
      </c>
      <c r="H152">
        <v>1847</v>
      </c>
      <c r="I152">
        <v>1812</v>
      </c>
      <c r="J152">
        <v>2074</v>
      </c>
      <c r="K152">
        <v>2533</v>
      </c>
      <c r="L152">
        <v>3637</v>
      </c>
      <c r="M152">
        <v>5185</v>
      </c>
      <c r="N152">
        <v>260</v>
      </c>
      <c r="O152">
        <v>7.4385000000000003</v>
      </c>
      <c r="P152">
        <v>0.99850000000000005</v>
      </c>
      <c r="Q152">
        <v>0</v>
      </c>
    </row>
    <row r="153" spans="1:17" x14ac:dyDescent="0.35">
      <c r="A153">
        <v>56</v>
      </c>
      <c r="B153" t="s">
        <v>471</v>
      </c>
      <c r="C153" t="s">
        <v>472</v>
      </c>
      <c r="D153" t="s">
        <v>473</v>
      </c>
      <c r="E153" t="s">
        <v>20</v>
      </c>
      <c r="F153">
        <v>26069416</v>
      </c>
      <c r="G153">
        <v>25867467</v>
      </c>
      <c r="H153">
        <v>25258015</v>
      </c>
      <c r="I153">
        <v>24686435</v>
      </c>
      <c r="J153">
        <v>23367059</v>
      </c>
      <c r="K153">
        <v>20799523</v>
      </c>
      <c r="L153">
        <v>17973650</v>
      </c>
      <c r="M153">
        <v>14996879</v>
      </c>
      <c r="N153">
        <v>120538</v>
      </c>
      <c r="O153">
        <v>216.27549999999999</v>
      </c>
      <c r="P153">
        <v>1.0038</v>
      </c>
      <c r="Q153">
        <v>0.33</v>
      </c>
    </row>
    <row r="154" spans="1:17" x14ac:dyDescent="0.35">
      <c r="A154">
        <v>150</v>
      </c>
      <c r="B154" t="s">
        <v>474</v>
      </c>
      <c r="C154" t="s">
        <v>475</v>
      </c>
      <c r="D154" t="s">
        <v>476</v>
      </c>
      <c r="E154" t="s">
        <v>24</v>
      </c>
      <c r="F154">
        <v>2093599</v>
      </c>
      <c r="G154">
        <v>2111072</v>
      </c>
      <c r="H154">
        <v>2107962</v>
      </c>
      <c r="I154">
        <v>2093828</v>
      </c>
      <c r="J154">
        <v>2037936</v>
      </c>
      <c r="K154">
        <v>2044174</v>
      </c>
      <c r="L154">
        <v>1907023</v>
      </c>
      <c r="M154">
        <v>1656783</v>
      </c>
      <c r="N154">
        <v>25713</v>
      </c>
      <c r="O154">
        <v>81.421800000000005</v>
      </c>
      <c r="P154">
        <v>0.99539999999999995</v>
      </c>
      <c r="Q154">
        <v>0.03</v>
      </c>
    </row>
    <row r="155" spans="1:17" x14ac:dyDescent="0.35">
      <c r="A155">
        <v>210</v>
      </c>
      <c r="B155" t="s">
        <v>477</v>
      </c>
      <c r="C155" t="s">
        <v>478</v>
      </c>
      <c r="D155" t="s">
        <v>479</v>
      </c>
      <c r="E155" t="s">
        <v>32</v>
      </c>
      <c r="F155">
        <v>49551</v>
      </c>
      <c r="G155">
        <v>49587</v>
      </c>
      <c r="H155">
        <v>51514</v>
      </c>
      <c r="I155">
        <v>54087</v>
      </c>
      <c r="J155">
        <v>80338</v>
      </c>
      <c r="K155">
        <v>48002</v>
      </c>
      <c r="L155">
        <v>17613</v>
      </c>
      <c r="M155">
        <v>10143</v>
      </c>
      <c r="N155">
        <v>464</v>
      </c>
      <c r="O155">
        <v>106.79089999999999</v>
      </c>
      <c r="P155">
        <v>1.0014000000000001</v>
      </c>
      <c r="Q155">
        <v>0</v>
      </c>
    </row>
    <row r="156" spans="1:17" x14ac:dyDescent="0.35">
      <c r="A156">
        <v>120</v>
      </c>
      <c r="B156" t="s">
        <v>480</v>
      </c>
      <c r="C156" t="s">
        <v>481</v>
      </c>
      <c r="D156" t="s">
        <v>482</v>
      </c>
      <c r="E156" t="s">
        <v>24</v>
      </c>
      <c r="F156">
        <v>5434319</v>
      </c>
      <c r="G156">
        <v>5379839</v>
      </c>
      <c r="H156">
        <v>5190356</v>
      </c>
      <c r="I156">
        <v>4889741</v>
      </c>
      <c r="J156">
        <v>4491202</v>
      </c>
      <c r="K156">
        <v>4241636</v>
      </c>
      <c r="L156">
        <v>4085776</v>
      </c>
      <c r="M156">
        <v>3875546</v>
      </c>
      <c r="N156">
        <v>323802</v>
      </c>
      <c r="O156">
        <v>16.782800000000002</v>
      </c>
      <c r="P156">
        <v>1.0058</v>
      </c>
      <c r="Q156">
        <v>7.0000000000000007E-2</v>
      </c>
    </row>
    <row r="157" spans="1:17" x14ac:dyDescent="0.35">
      <c r="A157">
        <v>127</v>
      </c>
      <c r="B157" t="s">
        <v>483</v>
      </c>
      <c r="C157" t="s">
        <v>484</v>
      </c>
      <c r="D157" t="s">
        <v>485</v>
      </c>
      <c r="E157" t="s">
        <v>20</v>
      </c>
      <c r="F157">
        <v>4576298</v>
      </c>
      <c r="G157">
        <v>4543399</v>
      </c>
      <c r="H157">
        <v>4191776</v>
      </c>
      <c r="I157">
        <v>2881914</v>
      </c>
      <c r="J157">
        <v>2344253</v>
      </c>
      <c r="K157">
        <v>1804524</v>
      </c>
      <c r="L157">
        <v>1017462</v>
      </c>
      <c r="M157">
        <v>670693</v>
      </c>
      <c r="N157">
        <v>309500</v>
      </c>
      <c r="O157">
        <v>14.786099999999999</v>
      </c>
      <c r="P157">
        <v>1.0123</v>
      </c>
      <c r="Q157">
        <v>0.06</v>
      </c>
    </row>
    <row r="158" spans="1:17" x14ac:dyDescent="0.35">
      <c r="A158">
        <v>5</v>
      </c>
      <c r="B158" t="s">
        <v>486</v>
      </c>
      <c r="C158" t="s">
        <v>487</v>
      </c>
      <c r="D158" t="s">
        <v>488</v>
      </c>
      <c r="E158" t="s">
        <v>20</v>
      </c>
      <c r="F158">
        <v>235824862</v>
      </c>
      <c r="G158">
        <v>227196741</v>
      </c>
      <c r="H158">
        <v>210969298</v>
      </c>
      <c r="I158">
        <v>194454498</v>
      </c>
      <c r="J158">
        <v>154369924</v>
      </c>
      <c r="K158">
        <v>115414069</v>
      </c>
      <c r="L158">
        <v>80624057</v>
      </c>
      <c r="M158">
        <v>59290872</v>
      </c>
      <c r="N158">
        <v>881912</v>
      </c>
      <c r="O158">
        <v>267.40179999999998</v>
      </c>
      <c r="P158">
        <v>1.0190999999999999</v>
      </c>
      <c r="Q158">
        <v>2.96</v>
      </c>
    </row>
    <row r="159" spans="1:17" x14ac:dyDescent="0.35">
      <c r="A159">
        <v>222</v>
      </c>
      <c r="B159" t="s">
        <v>489</v>
      </c>
      <c r="C159" t="s">
        <v>490</v>
      </c>
      <c r="D159" t="s">
        <v>491</v>
      </c>
      <c r="E159" t="s">
        <v>32</v>
      </c>
      <c r="F159">
        <v>18055</v>
      </c>
      <c r="G159">
        <v>17972</v>
      </c>
      <c r="H159">
        <v>17794</v>
      </c>
      <c r="I159">
        <v>18540</v>
      </c>
      <c r="J159">
        <v>19726</v>
      </c>
      <c r="K159">
        <v>15293</v>
      </c>
      <c r="L159">
        <v>12252</v>
      </c>
      <c r="M159">
        <v>11366</v>
      </c>
      <c r="N159">
        <v>459</v>
      </c>
      <c r="O159">
        <v>39.335500000000003</v>
      </c>
      <c r="P159">
        <v>1.0017</v>
      </c>
      <c r="Q159">
        <v>0</v>
      </c>
    </row>
    <row r="160" spans="1:17" x14ac:dyDescent="0.35">
      <c r="A160">
        <v>122</v>
      </c>
      <c r="B160" t="s">
        <v>492</v>
      </c>
      <c r="C160" t="s">
        <v>493</v>
      </c>
      <c r="D160" t="s">
        <v>494</v>
      </c>
      <c r="E160" t="s">
        <v>20</v>
      </c>
      <c r="F160">
        <v>5250072</v>
      </c>
      <c r="G160">
        <v>5019401</v>
      </c>
      <c r="H160">
        <v>4484614</v>
      </c>
      <c r="I160">
        <v>3992278</v>
      </c>
      <c r="J160">
        <v>3139954</v>
      </c>
      <c r="K160">
        <v>2124609</v>
      </c>
      <c r="L160">
        <v>1453620</v>
      </c>
      <c r="M160">
        <v>1118241</v>
      </c>
      <c r="N160">
        <v>6220</v>
      </c>
      <c r="O160">
        <v>844.06299999999999</v>
      </c>
      <c r="P160">
        <v>1.0226999999999999</v>
      </c>
      <c r="Q160">
        <v>7.0000000000000007E-2</v>
      </c>
    </row>
    <row r="161" spans="1:17" x14ac:dyDescent="0.35">
      <c r="A161">
        <v>128</v>
      </c>
      <c r="B161" t="s">
        <v>495</v>
      </c>
      <c r="C161" t="s">
        <v>496</v>
      </c>
      <c r="D161" t="s">
        <v>497</v>
      </c>
      <c r="E161" t="s">
        <v>42</v>
      </c>
      <c r="F161">
        <v>4408581</v>
      </c>
      <c r="G161">
        <v>4294396</v>
      </c>
      <c r="H161">
        <v>3957099</v>
      </c>
      <c r="I161">
        <v>3623617</v>
      </c>
      <c r="J161">
        <v>3001731</v>
      </c>
      <c r="K161">
        <v>2449968</v>
      </c>
      <c r="L161">
        <v>1956987</v>
      </c>
      <c r="M161">
        <v>1516188</v>
      </c>
      <c r="N161">
        <v>75417</v>
      </c>
      <c r="O161">
        <v>58.456099999999999</v>
      </c>
      <c r="P161">
        <v>1.0132000000000001</v>
      </c>
      <c r="Q161">
        <v>0.06</v>
      </c>
    </row>
    <row r="162" spans="1:17" x14ac:dyDescent="0.35">
      <c r="A162">
        <v>93</v>
      </c>
      <c r="B162" t="s">
        <v>498</v>
      </c>
      <c r="C162" t="s">
        <v>499</v>
      </c>
      <c r="D162" t="s">
        <v>500</v>
      </c>
      <c r="E162" t="s">
        <v>32</v>
      </c>
      <c r="F162">
        <v>10142619</v>
      </c>
      <c r="G162">
        <v>9749640</v>
      </c>
      <c r="H162">
        <v>8682174</v>
      </c>
      <c r="I162">
        <v>7583269</v>
      </c>
      <c r="J162">
        <v>5508297</v>
      </c>
      <c r="K162">
        <v>3864972</v>
      </c>
      <c r="L162">
        <v>3104788</v>
      </c>
      <c r="M162">
        <v>2489059</v>
      </c>
      <c r="N162">
        <v>462840</v>
      </c>
      <c r="O162">
        <v>21.913900000000002</v>
      </c>
      <c r="P162">
        <v>1.0194000000000001</v>
      </c>
      <c r="Q162">
        <v>0.13</v>
      </c>
    </row>
    <row r="163" spans="1:17" x14ac:dyDescent="0.35">
      <c r="A163">
        <v>109</v>
      </c>
      <c r="B163" t="s">
        <v>501</v>
      </c>
      <c r="C163" t="s">
        <v>502</v>
      </c>
      <c r="D163" t="s">
        <v>503</v>
      </c>
      <c r="E163" t="s">
        <v>49</v>
      </c>
      <c r="F163">
        <v>6780744</v>
      </c>
      <c r="G163">
        <v>6618695</v>
      </c>
      <c r="H163">
        <v>6177950</v>
      </c>
      <c r="I163">
        <v>5768613</v>
      </c>
      <c r="J163">
        <v>5123819</v>
      </c>
      <c r="K163">
        <v>4059195</v>
      </c>
      <c r="L163">
        <v>3078912</v>
      </c>
      <c r="M163">
        <v>2408787</v>
      </c>
      <c r="N163">
        <v>406752</v>
      </c>
      <c r="O163">
        <v>16.670500000000001</v>
      </c>
      <c r="P163">
        <v>1.0115000000000001</v>
      </c>
      <c r="Q163">
        <v>0.09</v>
      </c>
    </row>
    <row r="164" spans="1:17" x14ac:dyDescent="0.35">
      <c r="A164">
        <v>44</v>
      </c>
      <c r="B164" t="s">
        <v>504</v>
      </c>
      <c r="C164" t="s">
        <v>505</v>
      </c>
      <c r="D164" t="s">
        <v>506</v>
      </c>
      <c r="E164" t="s">
        <v>49</v>
      </c>
      <c r="F164">
        <v>34049588</v>
      </c>
      <c r="G164">
        <v>33304756</v>
      </c>
      <c r="H164">
        <v>30711863</v>
      </c>
      <c r="I164">
        <v>29229572</v>
      </c>
      <c r="J164">
        <v>26654439</v>
      </c>
      <c r="K164">
        <v>22109099</v>
      </c>
      <c r="L164">
        <v>17492406</v>
      </c>
      <c r="M164">
        <v>13562371</v>
      </c>
      <c r="N164">
        <v>1285216</v>
      </c>
      <c r="O164">
        <v>26.493300000000001</v>
      </c>
      <c r="P164">
        <v>1.0099</v>
      </c>
      <c r="Q164">
        <v>0.43</v>
      </c>
    </row>
    <row r="165" spans="1:17" x14ac:dyDescent="0.35">
      <c r="A165">
        <v>13</v>
      </c>
      <c r="B165" t="s">
        <v>507</v>
      </c>
      <c r="C165" t="s">
        <v>508</v>
      </c>
      <c r="D165" t="s">
        <v>509</v>
      </c>
      <c r="E165" t="s">
        <v>20</v>
      </c>
      <c r="F165">
        <v>115559009</v>
      </c>
      <c r="G165">
        <v>112190977</v>
      </c>
      <c r="H165">
        <v>103031365</v>
      </c>
      <c r="I165">
        <v>94636700</v>
      </c>
      <c r="J165">
        <v>77958223</v>
      </c>
      <c r="K165">
        <v>61558898</v>
      </c>
      <c r="L165">
        <v>48419546</v>
      </c>
      <c r="M165">
        <v>37435586</v>
      </c>
      <c r="N165">
        <v>342353</v>
      </c>
      <c r="O165">
        <v>337.54340000000002</v>
      </c>
      <c r="P165">
        <v>1.0146999999999999</v>
      </c>
      <c r="Q165">
        <v>1.45</v>
      </c>
    </row>
    <row r="166" spans="1:17" x14ac:dyDescent="0.35">
      <c r="A166">
        <v>37</v>
      </c>
      <c r="B166" t="s">
        <v>510</v>
      </c>
      <c r="C166" t="s">
        <v>511</v>
      </c>
      <c r="D166" t="s">
        <v>512</v>
      </c>
      <c r="E166" t="s">
        <v>24</v>
      </c>
      <c r="F166">
        <v>39857145</v>
      </c>
      <c r="G166">
        <v>38428366</v>
      </c>
      <c r="H166">
        <v>38553146</v>
      </c>
      <c r="I166">
        <v>38597353</v>
      </c>
      <c r="J166">
        <v>38504431</v>
      </c>
      <c r="K166">
        <v>38064255</v>
      </c>
      <c r="L166">
        <v>35521429</v>
      </c>
      <c r="M166">
        <v>32482943</v>
      </c>
      <c r="N166">
        <v>312679</v>
      </c>
      <c r="O166">
        <v>127.46980000000001</v>
      </c>
      <c r="P166">
        <v>1.0404</v>
      </c>
      <c r="Q166">
        <v>0.5</v>
      </c>
    </row>
    <row r="167" spans="1:17" x14ac:dyDescent="0.35">
      <c r="A167">
        <v>92</v>
      </c>
      <c r="B167" t="s">
        <v>513</v>
      </c>
      <c r="C167" t="s">
        <v>514</v>
      </c>
      <c r="D167" t="s">
        <v>515</v>
      </c>
      <c r="E167" t="s">
        <v>24</v>
      </c>
      <c r="F167">
        <v>10270865</v>
      </c>
      <c r="G167">
        <v>10298192</v>
      </c>
      <c r="H167">
        <v>10365435</v>
      </c>
      <c r="I167">
        <v>10588401</v>
      </c>
      <c r="J167">
        <v>10300626</v>
      </c>
      <c r="K167">
        <v>10007346</v>
      </c>
      <c r="L167">
        <v>9785252</v>
      </c>
      <c r="M167">
        <v>8683631</v>
      </c>
      <c r="N167">
        <v>92090</v>
      </c>
      <c r="O167">
        <v>111.5307</v>
      </c>
      <c r="P167">
        <v>0.99809999999999999</v>
      </c>
      <c r="Q167">
        <v>0.13</v>
      </c>
    </row>
    <row r="168" spans="1:17" x14ac:dyDescent="0.35">
      <c r="A168">
        <v>136</v>
      </c>
      <c r="B168" t="s">
        <v>516</v>
      </c>
      <c r="C168" t="s">
        <v>517</v>
      </c>
      <c r="D168" t="s">
        <v>518</v>
      </c>
      <c r="E168" t="s">
        <v>42</v>
      </c>
      <c r="F168">
        <v>3252407</v>
      </c>
      <c r="G168">
        <v>3271564</v>
      </c>
      <c r="H168">
        <v>3497335</v>
      </c>
      <c r="I168">
        <v>3717922</v>
      </c>
      <c r="J168">
        <v>3827108</v>
      </c>
      <c r="K168">
        <v>3543776</v>
      </c>
      <c r="L168">
        <v>3214568</v>
      </c>
      <c r="M168">
        <v>2737619</v>
      </c>
      <c r="N168">
        <v>8870</v>
      </c>
      <c r="O168">
        <v>366.67500000000001</v>
      </c>
      <c r="P168">
        <v>0.99890000000000001</v>
      </c>
      <c r="Q168">
        <v>0.04</v>
      </c>
    </row>
    <row r="169" spans="1:17" x14ac:dyDescent="0.35">
      <c r="A169">
        <v>143</v>
      </c>
      <c r="B169" t="s">
        <v>519</v>
      </c>
      <c r="C169" t="s">
        <v>520</v>
      </c>
      <c r="D169" t="s">
        <v>521</v>
      </c>
      <c r="E169" t="s">
        <v>20</v>
      </c>
      <c r="F169">
        <v>2695122</v>
      </c>
      <c r="G169">
        <v>2760385</v>
      </c>
      <c r="H169">
        <v>2414573</v>
      </c>
      <c r="I169">
        <v>1713504</v>
      </c>
      <c r="J169">
        <v>645937</v>
      </c>
      <c r="K169">
        <v>441675</v>
      </c>
      <c r="L169">
        <v>277450</v>
      </c>
      <c r="M169">
        <v>118007</v>
      </c>
      <c r="N169">
        <v>11586</v>
      </c>
      <c r="O169">
        <v>232.6189</v>
      </c>
      <c r="P169">
        <v>1.0025999999999999</v>
      </c>
      <c r="Q169">
        <v>0.03</v>
      </c>
    </row>
    <row r="170" spans="1:17" x14ac:dyDescent="0.35">
      <c r="A170">
        <v>114</v>
      </c>
      <c r="B170" t="s">
        <v>522</v>
      </c>
      <c r="C170" t="s">
        <v>523</v>
      </c>
      <c r="D170" t="s">
        <v>524</v>
      </c>
      <c r="E170" t="s">
        <v>28</v>
      </c>
      <c r="F170">
        <v>5970424</v>
      </c>
      <c r="G170">
        <v>5702174</v>
      </c>
      <c r="H170">
        <v>5064386</v>
      </c>
      <c r="I170">
        <v>4437884</v>
      </c>
      <c r="J170">
        <v>3134030</v>
      </c>
      <c r="K170">
        <v>2385435</v>
      </c>
      <c r="L170">
        <v>1829256</v>
      </c>
      <c r="M170">
        <v>1396989</v>
      </c>
      <c r="N170">
        <v>342000</v>
      </c>
      <c r="O170">
        <v>17.4574</v>
      </c>
      <c r="P170">
        <v>1.0230999999999999</v>
      </c>
      <c r="Q170">
        <v>7.0000000000000007E-2</v>
      </c>
    </row>
    <row r="171" spans="1:17" x14ac:dyDescent="0.35">
      <c r="A171">
        <v>161</v>
      </c>
      <c r="B171" t="s">
        <v>525</v>
      </c>
      <c r="C171" t="s">
        <v>526</v>
      </c>
      <c r="D171" t="s">
        <v>527</v>
      </c>
      <c r="E171" t="s">
        <v>28</v>
      </c>
      <c r="F171">
        <v>974052</v>
      </c>
      <c r="G171">
        <v>957822</v>
      </c>
      <c r="H171">
        <v>922495</v>
      </c>
      <c r="I171">
        <v>890130</v>
      </c>
      <c r="J171">
        <v>785424</v>
      </c>
      <c r="K171">
        <v>658992</v>
      </c>
      <c r="L171">
        <v>551674</v>
      </c>
      <c r="M171">
        <v>473925</v>
      </c>
      <c r="N171">
        <v>2511</v>
      </c>
      <c r="O171">
        <v>387.91399999999999</v>
      </c>
      <c r="P171">
        <v>1.0082</v>
      </c>
      <c r="Q171">
        <v>0.01</v>
      </c>
    </row>
    <row r="172" spans="1:17" x14ac:dyDescent="0.35">
      <c r="A172">
        <v>64</v>
      </c>
      <c r="B172" t="s">
        <v>528</v>
      </c>
      <c r="C172" t="s">
        <v>529</v>
      </c>
      <c r="D172" t="s">
        <v>530</v>
      </c>
      <c r="E172" t="s">
        <v>24</v>
      </c>
      <c r="F172">
        <v>19659267</v>
      </c>
      <c r="G172">
        <v>19442038</v>
      </c>
      <c r="H172">
        <v>19906079</v>
      </c>
      <c r="I172">
        <v>20335211</v>
      </c>
      <c r="J172">
        <v>21919876</v>
      </c>
      <c r="K172">
        <v>22836234</v>
      </c>
      <c r="L172">
        <v>22125224</v>
      </c>
      <c r="M172">
        <v>19922618</v>
      </c>
      <c r="N172">
        <v>238391</v>
      </c>
      <c r="O172">
        <v>82.466499999999996</v>
      </c>
      <c r="P172">
        <v>1.0170999999999999</v>
      </c>
      <c r="Q172">
        <v>0.25</v>
      </c>
    </row>
    <row r="173" spans="1:17" x14ac:dyDescent="0.35">
      <c r="A173">
        <v>9</v>
      </c>
      <c r="B173" t="s">
        <v>531</v>
      </c>
      <c r="C173" t="s">
        <v>532</v>
      </c>
      <c r="D173" t="s">
        <v>533</v>
      </c>
      <c r="E173" t="s">
        <v>24</v>
      </c>
      <c r="F173">
        <v>144713314</v>
      </c>
      <c r="G173">
        <v>145617329</v>
      </c>
      <c r="H173">
        <v>144668389</v>
      </c>
      <c r="I173">
        <v>143242599</v>
      </c>
      <c r="J173">
        <v>146844839</v>
      </c>
      <c r="K173">
        <v>148005704</v>
      </c>
      <c r="L173">
        <v>138257420</v>
      </c>
      <c r="M173">
        <v>130093010</v>
      </c>
      <c r="N173">
        <v>17098242</v>
      </c>
      <c r="O173">
        <v>8.4635999999999996</v>
      </c>
      <c r="P173">
        <v>0.99729999999999996</v>
      </c>
      <c r="Q173">
        <v>1.81</v>
      </c>
    </row>
    <row r="174" spans="1:17" x14ac:dyDescent="0.35">
      <c r="A174">
        <v>76</v>
      </c>
      <c r="B174" t="s">
        <v>534</v>
      </c>
      <c r="C174" t="s">
        <v>535</v>
      </c>
      <c r="D174" t="s">
        <v>536</v>
      </c>
      <c r="E174" t="s">
        <v>28</v>
      </c>
      <c r="F174">
        <v>13776698</v>
      </c>
      <c r="G174">
        <v>13146362</v>
      </c>
      <c r="H174">
        <v>11642959</v>
      </c>
      <c r="I174">
        <v>10309031</v>
      </c>
      <c r="J174">
        <v>8109989</v>
      </c>
      <c r="K174">
        <v>7319962</v>
      </c>
      <c r="L174">
        <v>5247532</v>
      </c>
      <c r="M174">
        <v>3896367</v>
      </c>
      <c r="N174">
        <v>26338</v>
      </c>
      <c r="O174">
        <v>523.07309999999995</v>
      </c>
      <c r="P174">
        <v>1.0234000000000001</v>
      </c>
      <c r="Q174">
        <v>0.17</v>
      </c>
    </row>
    <row r="175" spans="1:17" x14ac:dyDescent="0.35">
      <c r="A175">
        <v>228</v>
      </c>
      <c r="B175" t="s">
        <v>537</v>
      </c>
      <c r="C175" t="s">
        <v>538</v>
      </c>
      <c r="D175" t="s">
        <v>539</v>
      </c>
      <c r="E175" t="s">
        <v>42</v>
      </c>
      <c r="F175">
        <v>10967</v>
      </c>
      <c r="G175">
        <v>10681</v>
      </c>
      <c r="H175">
        <v>9643</v>
      </c>
      <c r="I175">
        <v>8988</v>
      </c>
      <c r="J175">
        <v>7082</v>
      </c>
      <c r="K175">
        <v>5168</v>
      </c>
      <c r="L175">
        <v>2983</v>
      </c>
      <c r="M175">
        <v>2417</v>
      </c>
      <c r="N175">
        <v>21</v>
      </c>
      <c r="O175">
        <v>522.23810000000003</v>
      </c>
      <c r="P175">
        <v>1.0098</v>
      </c>
      <c r="Q175">
        <v>0</v>
      </c>
    </row>
    <row r="176" spans="1:17" x14ac:dyDescent="0.35">
      <c r="A176">
        <v>211</v>
      </c>
      <c r="B176" t="s">
        <v>540</v>
      </c>
      <c r="C176" t="s">
        <v>541</v>
      </c>
      <c r="D176" t="s">
        <v>542</v>
      </c>
      <c r="E176" t="s">
        <v>42</v>
      </c>
      <c r="F176">
        <v>47657</v>
      </c>
      <c r="G176">
        <v>47642</v>
      </c>
      <c r="H176">
        <v>47790</v>
      </c>
      <c r="I176">
        <v>47403</v>
      </c>
      <c r="J176">
        <v>45461</v>
      </c>
      <c r="K176">
        <v>40636</v>
      </c>
      <c r="L176">
        <v>43097</v>
      </c>
      <c r="M176">
        <v>44968</v>
      </c>
      <c r="N176">
        <v>261</v>
      </c>
      <c r="O176">
        <v>182.59389999999999</v>
      </c>
      <c r="P176">
        <v>1.0011000000000001</v>
      </c>
      <c r="Q176">
        <v>0</v>
      </c>
    </row>
    <row r="177" spans="1:17" x14ac:dyDescent="0.35">
      <c r="A177">
        <v>190</v>
      </c>
      <c r="B177" t="s">
        <v>543</v>
      </c>
      <c r="C177" t="s">
        <v>544</v>
      </c>
      <c r="D177" t="s">
        <v>545</v>
      </c>
      <c r="E177" t="s">
        <v>42</v>
      </c>
      <c r="F177">
        <v>179857</v>
      </c>
      <c r="G177">
        <v>179237</v>
      </c>
      <c r="H177">
        <v>175623</v>
      </c>
      <c r="I177">
        <v>170935</v>
      </c>
      <c r="J177">
        <v>159500</v>
      </c>
      <c r="K177">
        <v>142301</v>
      </c>
      <c r="L177">
        <v>121633</v>
      </c>
      <c r="M177">
        <v>103090</v>
      </c>
      <c r="N177">
        <v>616</v>
      </c>
      <c r="O177">
        <v>291.97559999999999</v>
      </c>
      <c r="P177">
        <v>1.0011000000000001</v>
      </c>
      <c r="Q177">
        <v>0</v>
      </c>
    </row>
    <row r="178" spans="1:17" x14ac:dyDescent="0.35">
      <c r="A178">
        <v>220</v>
      </c>
      <c r="B178" t="s">
        <v>546</v>
      </c>
      <c r="C178" t="s">
        <v>547</v>
      </c>
      <c r="D178" t="s">
        <v>548</v>
      </c>
      <c r="E178" t="s">
        <v>42</v>
      </c>
      <c r="F178">
        <v>31791</v>
      </c>
      <c r="G178">
        <v>32552</v>
      </c>
      <c r="H178">
        <v>35020</v>
      </c>
      <c r="I178">
        <v>36458</v>
      </c>
      <c r="J178">
        <v>29610</v>
      </c>
      <c r="K178">
        <v>28127</v>
      </c>
      <c r="L178">
        <v>7776</v>
      </c>
      <c r="M178">
        <v>5802</v>
      </c>
      <c r="N178">
        <v>53</v>
      </c>
      <c r="O178">
        <v>599.83019999999999</v>
      </c>
      <c r="P178">
        <v>0.99509999999999998</v>
      </c>
      <c r="Q178">
        <v>0</v>
      </c>
    </row>
    <row r="179" spans="1:17" x14ac:dyDescent="0.35">
      <c r="A179">
        <v>229</v>
      </c>
      <c r="B179" t="s">
        <v>549</v>
      </c>
      <c r="C179" t="s">
        <v>550</v>
      </c>
      <c r="D179" t="s">
        <v>551</v>
      </c>
      <c r="E179" t="s">
        <v>42</v>
      </c>
      <c r="F179">
        <v>5862</v>
      </c>
      <c r="G179">
        <v>5906</v>
      </c>
      <c r="H179">
        <v>5978</v>
      </c>
      <c r="I179">
        <v>6052</v>
      </c>
      <c r="J179">
        <v>6274</v>
      </c>
      <c r="K179">
        <v>6324</v>
      </c>
      <c r="L179">
        <v>6106</v>
      </c>
      <c r="M179">
        <v>5537</v>
      </c>
      <c r="N179">
        <v>242</v>
      </c>
      <c r="O179">
        <v>24.223099999999999</v>
      </c>
      <c r="P179">
        <v>0.99639999999999995</v>
      </c>
      <c r="Q179">
        <v>0</v>
      </c>
    </row>
    <row r="180" spans="1:17" x14ac:dyDescent="0.35">
      <c r="A180">
        <v>199</v>
      </c>
      <c r="B180" t="s">
        <v>552</v>
      </c>
      <c r="C180" t="s">
        <v>553</v>
      </c>
      <c r="D180" t="s">
        <v>554</v>
      </c>
      <c r="E180" t="s">
        <v>42</v>
      </c>
      <c r="F180">
        <v>103948</v>
      </c>
      <c r="G180">
        <v>104632</v>
      </c>
      <c r="H180">
        <v>106482</v>
      </c>
      <c r="I180">
        <v>109308</v>
      </c>
      <c r="J180">
        <v>113813</v>
      </c>
      <c r="K180">
        <v>112487</v>
      </c>
      <c r="L180">
        <v>107480</v>
      </c>
      <c r="M180">
        <v>98459</v>
      </c>
      <c r="N180">
        <v>389</v>
      </c>
      <c r="O180">
        <v>267.21850000000001</v>
      </c>
      <c r="P180">
        <v>0.99629999999999996</v>
      </c>
      <c r="Q180">
        <v>0</v>
      </c>
    </row>
    <row r="181" spans="1:17" x14ac:dyDescent="0.35">
      <c r="A181">
        <v>188</v>
      </c>
      <c r="B181" t="s">
        <v>555</v>
      </c>
      <c r="C181" t="s">
        <v>556</v>
      </c>
      <c r="D181" t="s">
        <v>557</v>
      </c>
      <c r="E181" t="s">
        <v>32</v>
      </c>
      <c r="F181">
        <v>222382</v>
      </c>
      <c r="G181">
        <v>214929</v>
      </c>
      <c r="H181">
        <v>203571</v>
      </c>
      <c r="I181">
        <v>194672</v>
      </c>
      <c r="J181">
        <v>184008</v>
      </c>
      <c r="K181">
        <v>168186</v>
      </c>
      <c r="L181">
        <v>164905</v>
      </c>
      <c r="M181">
        <v>142771</v>
      </c>
      <c r="N181">
        <v>2842</v>
      </c>
      <c r="O181">
        <v>78.248400000000004</v>
      </c>
      <c r="P181">
        <v>1.0165</v>
      </c>
      <c r="Q181">
        <v>0</v>
      </c>
    </row>
    <row r="182" spans="1:17" x14ac:dyDescent="0.35">
      <c r="A182">
        <v>218</v>
      </c>
      <c r="B182" t="s">
        <v>558</v>
      </c>
      <c r="C182" t="s">
        <v>559</v>
      </c>
      <c r="D182" t="s">
        <v>559</v>
      </c>
      <c r="E182" t="s">
        <v>24</v>
      </c>
      <c r="F182">
        <v>33660</v>
      </c>
      <c r="G182">
        <v>34007</v>
      </c>
      <c r="H182">
        <v>33570</v>
      </c>
      <c r="I182">
        <v>31608</v>
      </c>
      <c r="J182">
        <v>26823</v>
      </c>
      <c r="K182">
        <v>23132</v>
      </c>
      <c r="L182">
        <v>21346</v>
      </c>
      <c r="M182">
        <v>18169</v>
      </c>
      <c r="N182">
        <v>61</v>
      </c>
      <c r="O182">
        <v>551.80330000000004</v>
      </c>
      <c r="P182">
        <v>0.99750000000000005</v>
      </c>
      <c r="Q182">
        <v>0</v>
      </c>
    </row>
    <row r="183" spans="1:17" x14ac:dyDescent="0.35">
      <c r="A183">
        <v>187</v>
      </c>
      <c r="B183" t="s">
        <v>560</v>
      </c>
      <c r="C183" t="s">
        <v>561</v>
      </c>
      <c r="D183" t="s">
        <v>562</v>
      </c>
      <c r="E183" t="s">
        <v>28</v>
      </c>
      <c r="F183">
        <v>227380</v>
      </c>
      <c r="G183">
        <v>218641</v>
      </c>
      <c r="H183">
        <v>201124</v>
      </c>
      <c r="I183">
        <v>182138</v>
      </c>
      <c r="J183">
        <v>143714</v>
      </c>
      <c r="K183">
        <v>120343</v>
      </c>
      <c r="L183">
        <v>97210</v>
      </c>
      <c r="M183">
        <v>77583</v>
      </c>
      <c r="N183">
        <v>964</v>
      </c>
      <c r="O183">
        <v>235.87139999999999</v>
      </c>
      <c r="P183">
        <v>1.0192000000000001</v>
      </c>
      <c r="Q183">
        <v>0</v>
      </c>
    </row>
    <row r="184" spans="1:17" x14ac:dyDescent="0.35">
      <c r="A184">
        <v>41</v>
      </c>
      <c r="B184" t="s">
        <v>563</v>
      </c>
      <c r="C184" t="s">
        <v>564</v>
      </c>
      <c r="D184" t="s">
        <v>565</v>
      </c>
      <c r="E184" t="s">
        <v>20</v>
      </c>
      <c r="F184">
        <v>36408820</v>
      </c>
      <c r="G184">
        <v>35997107</v>
      </c>
      <c r="H184">
        <v>32749848</v>
      </c>
      <c r="I184">
        <v>29411929</v>
      </c>
      <c r="J184">
        <v>21547390</v>
      </c>
      <c r="K184">
        <v>16004763</v>
      </c>
      <c r="L184">
        <v>10171710</v>
      </c>
      <c r="M184">
        <v>6106191</v>
      </c>
      <c r="N184">
        <v>2149690</v>
      </c>
      <c r="O184">
        <v>16.936800000000002</v>
      </c>
      <c r="P184">
        <v>1.0127999999999999</v>
      </c>
      <c r="Q184">
        <v>0.46</v>
      </c>
    </row>
    <row r="185" spans="1:17" x14ac:dyDescent="0.35">
      <c r="A185">
        <v>72</v>
      </c>
      <c r="B185" t="s">
        <v>566</v>
      </c>
      <c r="C185" t="s">
        <v>567</v>
      </c>
      <c r="D185" t="s">
        <v>568</v>
      </c>
      <c r="E185" t="s">
        <v>28</v>
      </c>
      <c r="F185">
        <v>17316449</v>
      </c>
      <c r="G185">
        <v>16436119</v>
      </c>
      <c r="H185">
        <v>14356181</v>
      </c>
      <c r="I185">
        <v>12530121</v>
      </c>
      <c r="J185">
        <v>9704287</v>
      </c>
      <c r="K185">
        <v>7536001</v>
      </c>
      <c r="L185">
        <v>5703869</v>
      </c>
      <c r="M185">
        <v>4367744</v>
      </c>
      <c r="N185">
        <v>196722</v>
      </c>
      <c r="O185">
        <v>88.025000000000006</v>
      </c>
      <c r="P185">
        <v>1.0261</v>
      </c>
      <c r="Q185">
        <v>0.22</v>
      </c>
    </row>
    <row r="186" spans="1:17" x14ac:dyDescent="0.35">
      <c r="A186">
        <v>105</v>
      </c>
      <c r="B186" t="s">
        <v>569</v>
      </c>
      <c r="C186" t="s">
        <v>570</v>
      </c>
      <c r="D186" t="s">
        <v>571</v>
      </c>
      <c r="E186" t="s">
        <v>24</v>
      </c>
      <c r="F186">
        <v>7221365</v>
      </c>
      <c r="G186">
        <v>7358005</v>
      </c>
      <c r="H186">
        <v>7519496</v>
      </c>
      <c r="I186">
        <v>7653748</v>
      </c>
      <c r="J186">
        <v>7935022</v>
      </c>
      <c r="K186">
        <v>7987529</v>
      </c>
      <c r="L186">
        <v>7777010</v>
      </c>
      <c r="M186">
        <v>7193533</v>
      </c>
      <c r="N186">
        <v>88361</v>
      </c>
      <c r="O186">
        <v>81.725700000000003</v>
      </c>
      <c r="P186">
        <v>0.98970000000000002</v>
      </c>
      <c r="Q186">
        <v>0.09</v>
      </c>
    </row>
    <row r="187" spans="1:17" x14ac:dyDescent="0.35">
      <c r="A187">
        <v>196</v>
      </c>
      <c r="B187" t="s">
        <v>572</v>
      </c>
      <c r="C187" t="s">
        <v>573</v>
      </c>
      <c r="D187" t="s">
        <v>574</v>
      </c>
      <c r="E187" t="s">
        <v>28</v>
      </c>
      <c r="F187">
        <v>107118</v>
      </c>
      <c r="G187">
        <v>105530</v>
      </c>
      <c r="H187">
        <v>99240</v>
      </c>
      <c r="I187">
        <v>92409</v>
      </c>
      <c r="J187">
        <v>80060</v>
      </c>
      <c r="K187">
        <v>71057</v>
      </c>
      <c r="L187">
        <v>65290</v>
      </c>
      <c r="M187">
        <v>54379</v>
      </c>
      <c r="N187">
        <v>452</v>
      </c>
      <c r="O187">
        <v>236.98670000000001</v>
      </c>
      <c r="P187">
        <v>1.0061</v>
      </c>
      <c r="Q187">
        <v>0</v>
      </c>
    </row>
    <row r="188" spans="1:17" x14ac:dyDescent="0.35">
      <c r="A188">
        <v>102</v>
      </c>
      <c r="B188" t="s">
        <v>575</v>
      </c>
      <c r="C188" t="s">
        <v>576</v>
      </c>
      <c r="D188" t="s">
        <v>577</v>
      </c>
      <c r="E188" t="s">
        <v>28</v>
      </c>
      <c r="F188">
        <v>8605718</v>
      </c>
      <c r="G188">
        <v>8233969</v>
      </c>
      <c r="H188">
        <v>7314773</v>
      </c>
      <c r="I188">
        <v>6436698</v>
      </c>
      <c r="J188">
        <v>4584067</v>
      </c>
      <c r="K188">
        <v>4325388</v>
      </c>
      <c r="L188">
        <v>3367477</v>
      </c>
      <c r="M188">
        <v>2778557</v>
      </c>
      <c r="N188">
        <v>71740</v>
      </c>
      <c r="O188">
        <v>119.95699999999999</v>
      </c>
      <c r="P188">
        <v>1.022</v>
      </c>
      <c r="Q188">
        <v>0.11</v>
      </c>
    </row>
    <row r="189" spans="1:17" x14ac:dyDescent="0.35">
      <c r="A189">
        <v>113</v>
      </c>
      <c r="B189" t="s">
        <v>578</v>
      </c>
      <c r="C189" t="s">
        <v>579</v>
      </c>
      <c r="D189" t="s">
        <v>579</v>
      </c>
      <c r="E189" t="s">
        <v>20</v>
      </c>
      <c r="F189">
        <v>5975689</v>
      </c>
      <c r="G189">
        <v>5909869</v>
      </c>
      <c r="H189">
        <v>5650018</v>
      </c>
      <c r="I189">
        <v>5163590</v>
      </c>
      <c r="J189">
        <v>4053602</v>
      </c>
      <c r="K189">
        <v>3022209</v>
      </c>
      <c r="L189">
        <v>2400729</v>
      </c>
      <c r="M189">
        <v>2061831</v>
      </c>
      <c r="N189">
        <v>710</v>
      </c>
      <c r="O189">
        <v>8416.4634000000005</v>
      </c>
      <c r="P189">
        <v>1.0058</v>
      </c>
      <c r="Q189">
        <v>7.0000000000000007E-2</v>
      </c>
    </row>
    <row r="190" spans="1:17" x14ac:dyDescent="0.35">
      <c r="A190">
        <v>214</v>
      </c>
      <c r="B190" t="s">
        <v>580</v>
      </c>
      <c r="C190" t="s">
        <v>581</v>
      </c>
      <c r="D190" t="s">
        <v>582</v>
      </c>
      <c r="E190" t="s">
        <v>42</v>
      </c>
      <c r="F190">
        <v>44175</v>
      </c>
      <c r="G190">
        <v>43621</v>
      </c>
      <c r="H190">
        <v>40205</v>
      </c>
      <c r="I190">
        <v>33034</v>
      </c>
      <c r="J190">
        <v>30489</v>
      </c>
      <c r="K190">
        <v>27845</v>
      </c>
      <c r="L190">
        <v>12243</v>
      </c>
      <c r="M190">
        <v>6260</v>
      </c>
      <c r="N190">
        <v>34</v>
      </c>
      <c r="O190">
        <v>1299.2646999999999</v>
      </c>
      <c r="P190">
        <v>1.0029999999999999</v>
      </c>
      <c r="Q190">
        <v>0</v>
      </c>
    </row>
    <row r="191" spans="1:17" x14ac:dyDescent="0.35">
      <c r="A191">
        <v>116</v>
      </c>
      <c r="B191" t="s">
        <v>583</v>
      </c>
      <c r="C191" t="s">
        <v>584</v>
      </c>
      <c r="D191" t="s">
        <v>585</v>
      </c>
      <c r="E191" t="s">
        <v>24</v>
      </c>
      <c r="F191">
        <v>5643453</v>
      </c>
      <c r="G191">
        <v>5456681</v>
      </c>
      <c r="H191">
        <v>5424444</v>
      </c>
      <c r="I191">
        <v>5396424</v>
      </c>
      <c r="J191">
        <v>5376690</v>
      </c>
      <c r="K191">
        <v>5261305</v>
      </c>
      <c r="L191">
        <v>4973883</v>
      </c>
      <c r="M191">
        <v>4522867</v>
      </c>
      <c r="N191">
        <v>49037</v>
      </c>
      <c r="O191">
        <v>115.0856</v>
      </c>
      <c r="P191">
        <v>1.0359</v>
      </c>
      <c r="Q191">
        <v>7.0000000000000007E-2</v>
      </c>
    </row>
    <row r="192" spans="1:17" x14ac:dyDescent="0.35">
      <c r="A192">
        <v>148</v>
      </c>
      <c r="B192" t="s">
        <v>586</v>
      </c>
      <c r="C192" t="s">
        <v>587</v>
      </c>
      <c r="D192" t="s">
        <v>588</v>
      </c>
      <c r="E192" t="s">
        <v>24</v>
      </c>
      <c r="F192">
        <v>2119844</v>
      </c>
      <c r="G192">
        <v>2117641</v>
      </c>
      <c r="H192">
        <v>2080862</v>
      </c>
      <c r="I192">
        <v>2057286</v>
      </c>
      <c r="J192">
        <v>1984339</v>
      </c>
      <c r="K192">
        <v>1986024</v>
      </c>
      <c r="L192">
        <v>1901570</v>
      </c>
      <c r="M192">
        <v>1741286</v>
      </c>
      <c r="N192">
        <v>20273</v>
      </c>
      <c r="O192">
        <v>104.56489999999999</v>
      </c>
      <c r="P192">
        <v>1.0002</v>
      </c>
      <c r="Q192">
        <v>0.03</v>
      </c>
    </row>
    <row r="193" spans="1:17" x14ac:dyDescent="0.35">
      <c r="A193">
        <v>166</v>
      </c>
      <c r="B193" t="s">
        <v>589</v>
      </c>
      <c r="C193" t="s">
        <v>590</v>
      </c>
      <c r="D193" t="s">
        <v>591</v>
      </c>
      <c r="E193" t="s">
        <v>32</v>
      </c>
      <c r="F193">
        <v>724273</v>
      </c>
      <c r="G193">
        <v>691191</v>
      </c>
      <c r="H193">
        <v>612660</v>
      </c>
      <c r="I193">
        <v>540394</v>
      </c>
      <c r="J193">
        <v>429978</v>
      </c>
      <c r="K193">
        <v>324171</v>
      </c>
      <c r="L193">
        <v>233668</v>
      </c>
      <c r="M193">
        <v>172833</v>
      </c>
      <c r="N193">
        <v>28896</v>
      </c>
      <c r="O193">
        <v>25.064800000000002</v>
      </c>
      <c r="P193">
        <v>1.0232000000000001</v>
      </c>
      <c r="Q193">
        <v>0.01</v>
      </c>
    </row>
    <row r="194" spans="1:17" x14ac:dyDescent="0.35">
      <c r="A194">
        <v>70</v>
      </c>
      <c r="B194" t="s">
        <v>592</v>
      </c>
      <c r="C194" t="s">
        <v>593</v>
      </c>
      <c r="D194" t="s">
        <v>594</v>
      </c>
      <c r="E194" t="s">
        <v>28</v>
      </c>
      <c r="F194">
        <v>17597511</v>
      </c>
      <c r="G194">
        <v>16537016</v>
      </c>
      <c r="H194">
        <v>13763906</v>
      </c>
      <c r="I194">
        <v>12026649</v>
      </c>
      <c r="J194">
        <v>8721465</v>
      </c>
      <c r="K194">
        <v>6999096</v>
      </c>
      <c r="L194">
        <v>5892224</v>
      </c>
      <c r="M194">
        <v>3720977</v>
      </c>
      <c r="N194">
        <v>637657</v>
      </c>
      <c r="O194">
        <v>27.597100000000001</v>
      </c>
      <c r="P194">
        <v>1.0311999999999999</v>
      </c>
      <c r="Q194">
        <v>0.22</v>
      </c>
    </row>
    <row r="195" spans="1:17" x14ac:dyDescent="0.35">
      <c r="A195">
        <v>24</v>
      </c>
      <c r="B195" t="s">
        <v>595</v>
      </c>
      <c r="C195" t="s">
        <v>596</v>
      </c>
      <c r="D195" t="s">
        <v>597</v>
      </c>
      <c r="E195" t="s">
        <v>28</v>
      </c>
      <c r="F195">
        <v>59893885</v>
      </c>
      <c r="G195">
        <v>58801927</v>
      </c>
      <c r="H195">
        <v>55876504</v>
      </c>
      <c r="I195">
        <v>51784921</v>
      </c>
      <c r="J195">
        <v>46813266</v>
      </c>
      <c r="K195">
        <v>39877570</v>
      </c>
      <c r="L195">
        <v>29463549</v>
      </c>
      <c r="M195">
        <v>22368306</v>
      </c>
      <c r="N195">
        <v>1221037</v>
      </c>
      <c r="O195">
        <v>49.051699999999997</v>
      </c>
      <c r="P195">
        <v>1.0084</v>
      </c>
      <c r="Q195">
        <v>0.75</v>
      </c>
    </row>
    <row r="196" spans="1:17" x14ac:dyDescent="0.35">
      <c r="A196">
        <v>29</v>
      </c>
      <c r="B196" t="s">
        <v>598</v>
      </c>
      <c r="C196" t="s">
        <v>599</v>
      </c>
      <c r="D196" t="s">
        <v>600</v>
      </c>
      <c r="E196" t="s">
        <v>20</v>
      </c>
      <c r="F196">
        <v>51815810</v>
      </c>
      <c r="G196">
        <v>51844690</v>
      </c>
      <c r="H196">
        <v>50994401</v>
      </c>
      <c r="I196">
        <v>48813042</v>
      </c>
      <c r="J196">
        <v>46788591</v>
      </c>
      <c r="K196">
        <v>44120039</v>
      </c>
      <c r="L196">
        <v>38170501</v>
      </c>
      <c r="M196">
        <v>32601143</v>
      </c>
      <c r="N196">
        <v>100210</v>
      </c>
      <c r="O196">
        <v>517.07219999999995</v>
      </c>
      <c r="P196">
        <v>0.99970000000000003</v>
      </c>
      <c r="Q196">
        <v>0.65</v>
      </c>
    </row>
    <row r="197" spans="1:17" x14ac:dyDescent="0.35">
      <c r="A197">
        <v>86</v>
      </c>
      <c r="B197" t="s">
        <v>601</v>
      </c>
      <c r="C197" t="s">
        <v>602</v>
      </c>
      <c r="D197" t="s">
        <v>603</v>
      </c>
      <c r="E197" t="s">
        <v>28</v>
      </c>
      <c r="F197">
        <v>10913164</v>
      </c>
      <c r="G197">
        <v>10606227</v>
      </c>
      <c r="H197">
        <v>11194299</v>
      </c>
      <c r="I197">
        <v>9714419</v>
      </c>
      <c r="J197">
        <v>6114440</v>
      </c>
      <c r="K197">
        <v>4750817</v>
      </c>
      <c r="L197">
        <v>4192011</v>
      </c>
      <c r="M197">
        <v>3342410</v>
      </c>
      <c r="N197">
        <v>619745</v>
      </c>
      <c r="O197">
        <v>17.609100000000002</v>
      </c>
      <c r="P197">
        <v>1.0153000000000001</v>
      </c>
      <c r="Q197">
        <v>0.14000000000000001</v>
      </c>
    </row>
    <row r="198" spans="1:17" x14ac:dyDescent="0.35">
      <c r="A198">
        <v>30</v>
      </c>
      <c r="B198" t="s">
        <v>604</v>
      </c>
      <c r="C198" t="s">
        <v>605</v>
      </c>
      <c r="D198" t="s">
        <v>606</v>
      </c>
      <c r="E198" t="s">
        <v>24</v>
      </c>
      <c r="F198">
        <v>47558630</v>
      </c>
      <c r="G198">
        <v>47363807</v>
      </c>
      <c r="H198">
        <v>46431342</v>
      </c>
      <c r="I198">
        <v>46572772</v>
      </c>
      <c r="J198">
        <v>40741651</v>
      </c>
      <c r="K198">
        <v>38889889</v>
      </c>
      <c r="L198">
        <v>37491666</v>
      </c>
      <c r="M198">
        <v>33792617</v>
      </c>
      <c r="N198">
        <v>505992</v>
      </c>
      <c r="O198">
        <v>93.990899999999996</v>
      </c>
      <c r="P198">
        <v>1.0015000000000001</v>
      </c>
      <c r="Q198">
        <v>0.6</v>
      </c>
    </row>
    <row r="199" spans="1:17" x14ac:dyDescent="0.35">
      <c r="A199">
        <v>61</v>
      </c>
      <c r="B199" t="s">
        <v>607</v>
      </c>
      <c r="C199" t="s">
        <v>608</v>
      </c>
      <c r="D199" t="s">
        <v>609</v>
      </c>
      <c r="E199" t="s">
        <v>20</v>
      </c>
      <c r="F199">
        <v>21832143</v>
      </c>
      <c r="G199">
        <v>21715079</v>
      </c>
      <c r="H199">
        <v>21336697</v>
      </c>
      <c r="I199">
        <v>20668557</v>
      </c>
      <c r="J199">
        <v>18776371</v>
      </c>
      <c r="K199">
        <v>17204094</v>
      </c>
      <c r="L199">
        <v>14943645</v>
      </c>
      <c r="M199">
        <v>12388769</v>
      </c>
      <c r="N199">
        <v>65610</v>
      </c>
      <c r="O199">
        <v>332.75630000000001</v>
      </c>
      <c r="P199">
        <v>1.0026999999999999</v>
      </c>
      <c r="Q199">
        <v>0.27</v>
      </c>
    </row>
    <row r="200" spans="1:17" x14ac:dyDescent="0.35">
      <c r="A200">
        <v>32</v>
      </c>
      <c r="B200" t="s">
        <v>610</v>
      </c>
      <c r="C200" t="s">
        <v>611</v>
      </c>
      <c r="D200" t="s">
        <v>612</v>
      </c>
      <c r="E200" t="s">
        <v>28</v>
      </c>
      <c r="F200">
        <v>46874204</v>
      </c>
      <c r="G200">
        <v>44440486</v>
      </c>
      <c r="H200">
        <v>38171178</v>
      </c>
      <c r="I200">
        <v>33739933</v>
      </c>
      <c r="J200">
        <v>26298773</v>
      </c>
      <c r="K200">
        <v>21090886</v>
      </c>
      <c r="L200">
        <v>16673586</v>
      </c>
      <c r="M200">
        <v>11305206</v>
      </c>
      <c r="N200">
        <v>1886068</v>
      </c>
      <c r="O200">
        <v>24.852900000000002</v>
      </c>
      <c r="P200">
        <v>1.0266999999999999</v>
      </c>
      <c r="Q200">
        <v>0.59</v>
      </c>
    </row>
    <row r="201" spans="1:17" x14ac:dyDescent="0.35">
      <c r="A201">
        <v>170</v>
      </c>
      <c r="B201" t="s">
        <v>613</v>
      </c>
      <c r="C201" t="s">
        <v>614</v>
      </c>
      <c r="D201" t="s">
        <v>615</v>
      </c>
      <c r="E201" t="s">
        <v>49</v>
      </c>
      <c r="F201">
        <v>618040</v>
      </c>
      <c r="G201">
        <v>607065</v>
      </c>
      <c r="H201">
        <v>575475</v>
      </c>
      <c r="I201">
        <v>546080</v>
      </c>
      <c r="J201">
        <v>478998</v>
      </c>
      <c r="K201">
        <v>412756</v>
      </c>
      <c r="L201">
        <v>375112</v>
      </c>
      <c r="M201">
        <v>379918</v>
      </c>
      <c r="N201">
        <v>163820</v>
      </c>
      <c r="O201">
        <v>3.7726999999999999</v>
      </c>
      <c r="P201">
        <v>1.0082</v>
      </c>
      <c r="Q201">
        <v>0.01</v>
      </c>
    </row>
    <row r="202" spans="1:17" x14ac:dyDescent="0.35">
      <c r="A202">
        <v>87</v>
      </c>
      <c r="B202" t="s">
        <v>616</v>
      </c>
      <c r="C202" t="s">
        <v>617</v>
      </c>
      <c r="D202" t="s">
        <v>618</v>
      </c>
      <c r="E202" t="s">
        <v>24</v>
      </c>
      <c r="F202">
        <v>10549347</v>
      </c>
      <c r="G202">
        <v>10368969</v>
      </c>
      <c r="H202">
        <v>9849349</v>
      </c>
      <c r="I202">
        <v>9381729</v>
      </c>
      <c r="J202">
        <v>8871043</v>
      </c>
      <c r="K202">
        <v>8548406</v>
      </c>
      <c r="L202">
        <v>8311763</v>
      </c>
      <c r="M202">
        <v>8027702</v>
      </c>
      <c r="N202">
        <v>450295</v>
      </c>
      <c r="O202">
        <v>23.427600000000002</v>
      </c>
      <c r="P202">
        <v>1.0079</v>
      </c>
      <c r="Q202">
        <v>0.13</v>
      </c>
    </row>
    <row r="203" spans="1:17" x14ac:dyDescent="0.35">
      <c r="A203">
        <v>101</v>
      </c>
      <c r="B203" t="s">
        <v>619</v>
      </c>
      <c r="C203" t="s">
        <v>620</v>
      </c>
      <c r="D203" t="s">
        <v>621</v>
      </c>
      <c r="E203" t="s">
        <v>24</v>
      </c>
      <c r="F203">
        <v>8740472</v>
      </c>
      <c r="G203">
        <v>8638613</v>
      </c>
      <c r="H203">
        <v>8281732</v>
      </c>
      <c r="I203">
        <v>7822435</v>
      </c>
      <c r="J203">
        <v>7182059</v>
      </c>
      <c r="K203">
        <v>6711693</v>
      </c>
      <c r="L203">
        <v>6319113</v>
      </c>
      <c r="M203">
        <v>6181227</v>
      </c>
      <c r="N203">
        <v>41284</v>
      </c>
      <c r="O203">
        <v>211.7157</v>
      </c>
      <c r="P203">
        <v>1.0056</v>
      </c>
      <c r="Q203">
        <v>0.11</v>
      </c>
    </row>
    <row r="204" spans="1:17" x14ac:dyDescent="0.35">
      <c r="A204">
        <v>60</v>
      </c>
      <c r="B204" t="s">
        <v>622</v>
      </c>
      <c r="C204" t="s">
        <v>623</v>
      </c>
      <c r="D204" t="s">
        <v>624</v>
      </c>
      <c r="E204" t="s">
        <v>20</v>
      </c>
      <c r="F204">
        <v>22125249</v>
      </c>
      <c r="G204">
        <v>20772595</v>
      </c>
      <c r="H204">
        <v>19205178</v>
      </c>
      <c r="I204">
        <v>22337563</v>
      </c>
      <c r="J204">
        <v>16307654</v>
      </c>
      <c r="K204">
        <v>12408996</v>
      </c>
      <c r="L204">
        <v>8898954</v>
      </c>
      <c r="M204">
        <v>6319199</v>
      </c>
      <c r="N204">
        <v>185180</v>
      </c>
      <c r="O204">
        <v>119.47969999999999</v>
      </c>
      <c r="P204">
        <v>1.0376000000000001</v>
      </c>
      <c r="Q204">
        <v>0.28000000000000003</v>
      </c>
    </row>
    <row r="205" spans="1:17" x14ac:dyDescent="0.35">
      <c r="A205">
        <v>57</v>
      </c>
      <c r="B205" t="s">
        <v>625</v>
      </c>
      <c r="C205" t="s">
        <v>626</v>
      </c>
      <c r="D205" t="s">
        <v>627</v>
      </c>
      <c r="E205" t="s">
        <v>20</v>
      </c>
      <c r="F205">
        <v>23893394</v>
      </c>
      <c r="G205">
        <v>23821464</v>
      </c>
      <c r="H205">
        <v>23512136</v>
      </c>
      <c r="I205">
        <v>23083083</v>
      </c>
      <c r="J205">
        <v>22194731</v>
      </c>
      <c r="K205">
        <v>20586174</v>
      </c>
      <c r="L205">
        <v>18100281</v>
      </c>
      <c r="M205">
        <v>14957870</v>
      </c>
      <c r="N205">
        <v>36193</v>
      </c>
      <c r="O205">
        <v>660.1662</v>
      </c>
      <c r="P205">
        <v>1.0014000000000001</v>
      </c>
      <c r="Q205">
        <v>0.3</v>
      </c>
    </row>
    <row r="206" spans="1:17" x14ac:dyDescent="0.35">
      <c r="A206">
        <v>95</v>
      </c>
      <c r="B206" t="s">
        <v>628</v>
      </c>
      <c r="C206" t="s">
        <v>629</v>
      </c>
      <c r="D206" t="s">
        <v>630</v>
      </c>
      <c r="E206" t="s">
        <v>20</v>
      </c>
      <c r="F206">
        <v>9952787</v>
      </c>
      <c r="G206">
        <v>9543207</v>
      </c>
      <c r="H206">
        <v>8524063</v>
      </c>
      <c r="I206">
        <v>7621779</v>
      </c>
      <c r="J206">
        <v>6272998</v>
      </c>
      <c r="K206">
        <v>5417860</v>
      </c>
      <c r="L206">
        <v>4045965</v>
      </c>
      <c r="M206">
        <v>2993019</v>
      </c>
      <c r="N206">
        <v>143100</v>
      </c>
      <c r="O206">
        <v>69.551299999999998</v>
      </c>
      <c r="P206">
        <v>1.0207999999999999</v>
      </c>
      <c r="Q206">
        <v>0.12</v>
      </c>
    </row>
    <row r="207" spans="1:17" x14ac:dyDescent="0.35">
      <c r="A207">
        <v>22</v>
      </c>
      <c r="B207" t="s">
        <v>631</v>
      </c>
      <c r="C207" t="s">
        <v>632</v>
      </c>
      <c r="D207" t="s">
        <v>633</v>
      </c>
      <c r="E207" t="s">
        <v>28</v>
      </c>
      <c r="F207">
        <v>65497748</v>
      </c>
      <c r="G207">
        <v>61704518</v>
      </c>
      <c r="H207">
        <v>52542823</v>
      </c>
      <c r="I207">
        <v>45110527</v>
      </c>
      <c r="J207">
        <v>34463704</v>
      </c>
      <c r="K207">
        <v>26206012</v>
      </c>
      <c r="L207">
        <v>19297659</v>
      </c>
      <c r="M207">
        <v>13618192</v>
      </c>
      <c r="N207">
        <v>945087</v>
      </c>
      <c r="O207">
        <v>69.303399999999996</v>
      </c>
      <c r="P207">
        <v>1.03</v>
      </c>
      <c r="Q207">
        <v>0.82</v>
      </c>
    </row>
    <row r="208" spans="1:17" x14ac:dyDescent="0.35">
      <c r="A208">
        <v>20</v>
      </c>
      <c r="B208" t="s">
        <v>634</v>
      </c>
      <c r="C208" t="s">
        <v>635</v>
      </c>
      <c r="D208" t="s">
        <v>636</v>
      </c>
      <c r="E208" t="s">
        <v>20</v>
      </c>
      <c r="F208">
        <v>71697030</v>
      </c>
      <c r="G208">
        <v>71475664</v>
      </c>
      <c r="H208">
        <v>70294397</v>
      </c>
      <c r="I208">
        <v>68270489</v>
      </c>
      <c r="J208">
        <v>63066603</v>
      </c>
      <c r="K208">
        <v>55228410</v>
      </c>
      <c r="L208">
        <v>45737753</v>
      </c>
      <c r="M208">
        <v>35791728</v>
      </c>
      <c r="N208">
        <v>513120</v>
      </c>
      <c r="O208">
        <v>139.7276</v>
      </c>
      <c r="P208">
        <v>1.0013000000000001</v>
      </c>
      <c r="Q208">
        <v>0.9</v>
      </c>
    </row>
    <row r="209" spans="1:17" x14ac:dyDescent="0.35">
      <c r="A209">
        <v>155</v>
      </c>
      <c r="B209" t="s">
        <v>637</v>
      </c>
      <c r="C209" t="s">
        <v>638</v>
      </c>
      <c r="D209" t="s">
        <v>639</v>
      </c>
      <c r="E209" t="s">
        <v>20</v>
      </c>
      <c r="F209">
        <v>1341296</v>
      </c>
      <c r="G209">
        <v>1299995</v>
      </c>
      <c r="H209">
        <v>1205813</v>
      </c>
      <c r="I209">
        <v>1088486</v>
      </c>
      <c r="J209">
        <v>878360</v>
      </c>
      <c r="K209">
        <v>758106</v>
      </c>
      <c r="L209">
        <v>642224</v>
      </c>
      <c r="M209">
        <v>554021</v>
      </c>
      <c r="N209">
        <v>14874</v>
      </c>
      <c r="O209">
        <v>90.177199999999999</v>
      </c>
      <c r="P209">
        <v>1.0154000000000001</v>
      </c>
      <c r="Q209">
        <v>0.02</v>
      </c>
    </row>
    <row r="210" spans="1:17" x14ac:dyDescent="0.35">
      <c r="A210">
        <v>100</v>
      </c>
      <c r="B210" t="s">
        <v>640</v>
      </c>
      <c r="C210" t="s">
        <v>641</v>
      </c>
      <c r="D210" t="s">
        <v>642</v>
      </c>
      <c r="E210" t="s">
        <v>28</v>
      </c>
      <c r="F210">
        <v>8848699</v>
      </c>
      <c r="G210">
        <v>8442580</v>
      </c>
      <c r="H210">
        <v>7473229</v>
      </c>
      <c r="I210">
        <v>6571855</v>
      </c>
      <c r="J210">
        <v>5008035</v>
      </c>
      <c r="K210">
        <v>3875947</v>
      </c>
      <c r="L210">
        <v>2838110</v>
      </c>
      <c r="M210">
        <v>2197383</v>
      </c>
      <c r="N210">
        <v>56785</v>
      </c>
      <c r="O210">
        <v>155.82810000000001</v>
      </c>
      <c r="P210">
        <v>1.0236000000000001</v>
      </c>
      <c r="Q210">
        <v>0.11</v>
      </c>
    </row>
    <row r="211" spans="1:17" x14ac:dyDescent="0.35">
      <c r="A211">
        <v>233</v>
      </c>
      <c r="B211" t="s">
        <v>643</v>
      </c>
      <c r="C211" t="s">
        <v>644</v>
      </c>
      <c r="D211" t="s">
        <v>645</v>
      </c>
      <c r="E211" t="s">
        <v>32</v>
      </c>
      <c r="F211">
        <v>1871</v>
      </c>
      <c r="G211">
        <v>1827</v>
      </c>
      <c r="H211">
        <v>1454</v>
      </c>
      <c r="I211">
        <v>1367</v>
      </c>
      <c r="J211">
        <v>1666</v>
      </c>
      <c r="K211">
        <v>1669</v>
      </c>
      <c r="L211">
        <v>1647</v>
      </c>
      <c r="M211">
        <v>1714</v>
      </c>
      <c r="N211">
        <v>12</v>
      </c>
      <c r="O211">
        <v>155.91669999999999</v>
      </c>
      <c r="P211">
        <v>1.0119</v>
      </c>
      <c r="Q211">
        <v>0</v>
      </c>
    </row>
    <row r="212" spans="1:17" x14ac:dyDescent="0.35">
      <c r="A212">
        <v>197</v>
      </c>
      <c r="B212" t="s">
        <v>646</v>
      </c>
      <c r="C212" t="s">
        <v>647</v>
      </c>
      <c r="D212" t="s">
        <v>648</v>
      </c>
      <c r="E212" t="s">
        <v>32</v>
      </c>
      <c r="F212">
        <v>106858</v>
      </c>
      <c r="G212">
        <v>105254</v>
      </c>
      <c r="H212">
        <v>106122</v>
      </c>
      <c r="I212">
        <v>107383</v>
      </c>
      <c r="J212">
        <v>102603</v>
      </c>
      <c r="K212">
        <v>98727</v>
      </c>
      <c r="L212">
        <v>96708</v>
      </c>
      <c r="M212">
        <v>86484</v>
      </c>
      <c r="N212">
        <v>747</v>
      </c>
      <c r="O212">
        <v>143.04949999999999</v>
      </c>
      <c r="P212">
        <v>1.0079</v>
      </c>
      <c r="Q212">
        <v>0</v>
      </c>
    </row>
    <row r="213" spans="1:17" x14ac:dyDescent="0.35">
      <c r="A213">
        <v>153</v>
      </c>
      <c r="B213" t="s">
        <v>649</v>
      </c>
      <c r="C213" t="s">
        <v>650</v>
      </c>
      <c r="D213" t="s">
        <v>651</v>
      </c>
      <c r="E213" t="s">
        <v>42</v>
      </c>
      <c r="F213">
        <v>1531044</v>
      </c>
      <c r="G213">
        <v>1518147</v>
      </c>
      <c r="H213">
        <v>1460177</v>
      </c>
      <c r="I213">
        <v>1410296</v>
      </c>
      <c r="J213">
        <v>1332203</v>
      </c>
      <c r="K213">
        <v>1266518</v>
      </c>
      <c r="L213">
        <v>1127852</v>
      </c>
      <c r="M213">
        <v>988890</v>
      </c>
      <c r="N213">
        <v>5130</v>
      </c>
      <c r="O213">
        <v>298.44909999999999</v>
      </c>
      <c r="P213">
        <v>1.0035000000000001</v>
      </c>
      <c r="Q213">
        <v>0.02</v>
      </c>
    </row>
    <row r="214" spans="1:17" x14ac:dyDescent="0.35">
      <c r="A214">
        <v>79</v>
      </c>
      <c r="B214" t="s">
        <v>652</v>
      </c>
      <c r="C214" t="s">
        <v>653</v>
      </c>
      <c r="D214" t="s">
        <v>654</v>
      </c>
      <c r="E214" t="s">
        <v>28</v>
      </c>
      <c r="F214">
        <v>12356117</v>
      </c>
      <c r="G214">
        <v>12161723</v>
      </c>
      <c r="H214">
        <v>11557779</v>
      </c>
      <c r="I214">
        <v>10895063</v>
      </c>
      <c r="J214">
        <v>9893316</v>
      </c>
      <c r="K214">
        <v>8440023</v>
      </c>
      <c r="L214">
        <v>6578156</v>
      </c>
      <c r="M214">
        <v>5047404</v>
      </c>
      <c r="N214">
        <v>163610</v>
      </c>
      <c r="O214">
        <v>75.521799999999999</v>
      </c>
      <c r="P214">
        <v>1.0076000000000001</v>
      </c>
      <c r="Q214">
        <v>0.15</v>
      </c>
    </row>
    <row r="215" spans="1:17" x14ac:dyDescent="0.35">
      <c r="A215">
        <v>18</v>
      </c>
      <c r="B215" t="s">
        <v>655</v>
      </c>
      <c r="C215" t="s">
        <v>656</v>
      </c>
      <c r="D215" t="s">
        <v>657</v>
      </c>
      <c r="E215" t="s">
        <v>20</v>
      </c>
      <c r="F215">
        <v>85341241</v>
      </c>
      <c r="G215">
        <v>84135428</v>
      </c>
      <c r="H215">
        <v>79646178</v>
      </c>
      <c r="I215">
        <v>73195345</v>
      </c>
      <c r="J215">
        <v>64113547</v>
      </c>
      <c r="K215">
        <v>54324142</v>
      </c>
      <c r="L215">
        <v>44089069</v>
      </c>
      <c r="M215">
        <v>35540990</v>
      </c>
      <c r="N215">
        <v>783562</v>
      </c>
      <c r="O215">
        <v>108.9145</v>
      </c>
      <c r="P215">
        <v>1.0066999999999999</v>
      </c>
      <c r="Q215">
        <v>1.07</v>
      </c>
    </row>
    <row r="216" spans="1:17" x14ac:dyDescent="0.35">
      <c r="A216">
        <v>111</v>
      </c>
      <c r="B216" t="s">
        <v>658</v>
      </c>
      <c r="C216" t="s">
        <v>659</v>
      </c>
      <c r="D216" t="s">
        <v>660</v>
      </c>
      <c r="E216" t="s">
        <v>20</v>
      </c>
      <c r="F216">
        <v>6430770</v>
      </c>
      <c r="G216">
        <v>6250438</v>
      </c>
      <c r="H216">
        <v>5766431</v>
      </c>
      <c r="I216">
        <v>5267970</v>
      </c>
      <c r="J216">
        <v>4569132</v>
      </c>
      <c r="K216">
        <v>3720278</v>
      </c>
      <c r="L216">
        <v>2862903</v>
      </c>
      <c r="M216">
        <v>2201432</v>
      </c>
      <c r="N216">
        <v>488100</v>
      </c>
      <c r="O216">
        <v>13.1751</v>
      </c>
      <c r="P216">
        <v>1.014</v>
      </c>
      <c r="Q216">
        <v>0.08</v>
      </c>
    </row>
    <row r="217" spans="1:17" x14ac:dyDescent="0.35">
      <c r="A217">
        <v>212</v>
      </c>
      <c r="B217" t="s">
        <v>661</v>
      </c>
      <c r="C217" t="s">
        <v>662</v>
      </c>
      <c r="D217" t="s">
        <v>663</v>
      </c>
      <c r="E217" t="s">
        <v>42</v>
      </c>
      <c r="F217">
        <v>45703</v>
      </c>
      <c r="G217">
        <v>44276</v>
      </c>
      <c r="H217">
        <v>36538</v>
      </c>
      <c r="I217">
        <v>29726</v>
      </c>
      <c r="J217">
        <v>18744</v>
      </c>
      <c r="K217">
        <v>11709</v>
      </c>
      <c r="L217">
        <v>7598</v>
      </c>
      <c r="M217">
        <v>5665</v>
      </c>
      <c r="N217">
        <v>948</v>
      </c>
      <c r="O217">
        <v>48.209899999999998</v>
      </c>
      <c r="P217">
        <v>1.0130999999999999</v>
      </c>
      <c r="Q217">
        <v>0</v>
      </c>
    </row>
    <row r="218" spans="1:17" x14ac:dyDescent="0.35">
      <c r="A218">
        <v>227</v>
      </c>
      <c r="B218" t="s">
        <v>664</v>
      </c>
      <c r="C218" t="s">
        <v>665</v>
      </c>
      <c r="D218" t="s">
        <v>666</v>
      </c>
      <c r="E218" t="s">
        <v>32</v>
      </c>
      <c r="F218">
        <v>11312</v>
      </c>
      <c r="G218">
        <v>11069</v>
      </c>
      <c r="H218">
        <v>10877</v>
      </c>
      <c r="I218">
        <v>10550</v>
      </c>
      <c r="J218">
        <v>9638</v>
      </c>
      <c r="K218">
        <v>9182</v>
      </c>
      <c r="L218">
        <v>7731</v>
      </c>
      <c r="M218">
        <v>5814</v>
      </c>
      <c r="N218">
        <v>26</v>
      </c>
      <c r="O218">
        <v>435.07690000000002</v>
      </c>
      <c r="P218">
        <v>1.0096000000000001</v>
      </c>
      <c r="Q218">
        <v>0</v>
      </c>
    </row>
    <row r="219" spans="1:17" x14ac:dyDescent="0.35">
      <c r="A219">
        <v>31</v>
      </c>
      <c r="B219" t="s">
        <v>667</v>
      </c>
      <c r="C219" t="s">
        <v>668</v>
      </c>
      <c r="D219" t="s">
        <v>669</v>
      </c>
      <c r="E219" t="s">
        <v>28</v>
      </c>
      <c r="F219">
        <v>47249585</v>
      </c>
      <c r="G219">
        <v>44404611</v>
      </c>
      <c r="H219">
        <v>37477356</v>
      </c>
      <c r="I219">
        <v>32341728</v>
      </c>
      <c r="J219">
        <v>24020697</v>
      </c>
      <c r="K219">
        <v>17586630</v>
      </c>
      <c r="L219">
        <v>13284026</v>
      </c>
      <c r="M219">
        <v>10317212</v>
      </c>
      <c r="N219">
        <v>241550</v>
      </c>
      <c r="O219">
        <v>195.61</v>
      </c>
      <c r="P219">
        <v>1.0304</v>
      </c>
      <c r="Q219">
        <v>0.59</v>
      </c>
    </row>
    <row r="220" spans="1:17" x14ac:dyDescent="0.35">
      <c r="A220">
        <v>38</v>
      </c>
      <c r="B220" t="s">
        <v>670</v>
      </c>
      <c r="C220" t="s">
        <v>671</v>
      </c>
      <c r="D220" t="s">
        <v>672</v>
      </c>
      <c r="E220" t="s">
        <v>24</v>
      </c>
      <c r="F220">
        <v>39701739</v>
      </c>
      <c r="G220">
        <v>43909666</v>
      </c>
      <c r="H220">
        <v>44982564</v>
      </c>
      <c r="I220">
        <v>45683020</v>
      </c>
      <c r="J220">
        <v>48879755</v>
      </c>
      <c r="K220">
        <v>51589817</v>
      </c>
      <c r="L220">
        <v>49973920</v>
      </c>
      <c r="M220">
        <v>47279086</v>
      </c>
      <c r="N220">
        <v>603500</v>
      </c>
      <c r="O220">
        <v>65.785799999999995</v>
      </c>
      <c r="P220">
        <v>0.91200000000000003</v>
      </c>
      <c r="Q220">
        <v>0.5</v>
      </c>
    </row>
    <row r="221" spans="1:17" x14ac:dyDescent="0.35">
      <c r="A221">
        <v>97</v>
      </c>
      <c r="B221" t="s">
        <v>673</v>
      </c>
      <c r="C221" t="s">
        <v>674</v>
      </c>
      <c r="D221" t="s">
        <v>675</v>
      </c>
      <c r="E221" t="s">
        <v>20</v>
      </c>
      <c r="F221">
        <v>9441129</v>
      </c>
      <c r="G221">
        <v>9287289</v>
      </c>
      <c r="H221">
        <v>8916899</v>
      </c>
      <c r="I221">
        <v>8481771</v>
      </c>
      <c r="J221">
        <v>3275333</v>
      </c>
      <c r="K221">
        <v>1900151</v>
      </c>
      <c r="L221">
        <v>1014048</v>
      </c>
      <c r="M221">
        <v>298084</v>
      </c>
      <c r="N221">
        <v>83600</v>
      </c>
      <c r="O221">
        <v>112.93219999999999</v>
      </c>
      <c r="P221">
        <v>1.0081</v>
      </c>
      <c r="Q221">
        <v>0.12</v>
      </c>
    </row>
    <row r="222" spans="1:17" x14ac:dyDescent="0.35">
      <c r="A222">
        <v>21</v>
      </c>
      <c r="B222" t="s">
        <v>676</v>
      </c>
      <c r="C222" t="s">
        <v>677</v>
      </c>
      <c r="D222" t="s">
        <v>678</v>
      </c>
      <c r="E222" t="s">
        <v>24</v>
      </c>
      <c r="F222">
        <v>67508936</v>
      </c>
      <c r="G222">
        <v>67059474</v>
      </c>
      <c r="H222">
        <v>65224364</v>
      </c>
      <c r="I222">
        <v>62760039</v>
      </c>
      <c r="J222">
        <v>58850043</v>
      </c>
      <c r="K222">
        <v>57210442</v>
      </c>
      <c r="L222">
        <v>56326328</v>
      </c>
      <c r="M222">
        <v>55650166</v>
      </c>
      <c r="N222">
        <v>242900</v>
      </c>
      <c r="O222">
        <v>277.9289</v>
      </c>
      <c r="P222">
        <v>1.0034000000000001</v>
      </c>
      <c r="Q222">
        <v>0.85</v>
      </c>
    </row>
    <row r="223" spans="1:17" x14ac:dyDescent="0.35">
      <c r="A223">
        <v>3</v>
      </c>
      <c r="B223" t="s">
        <v>679</v>
      </c>
      <c r="C223" t="s">
        <v>680</v>
      </c>
      <c r="D223" t="s">
        <v>681</v>
      </c>
      <c r="E223" t="s">
        <v>42</v>
      </c>
      <c r="F223">
        <v>338289857</v>
      </c>
      <c r="G223">
        <v>335942003</v>
      </c>
      <c r="H223">
        <v>324607776</v>
      </c>
      <c r="I223">
        <v>311182845</v>
      </c>
      <c r="J223">
        <v>282398554</v>
      </c>
      <c r="K223">
        <v>248083732</v>
      </c>
      <c r="L223">
        <v>223140018</v>
      </c>
      <c r="M223">
        <v>200328340</v>
      </c>
      <c r="N223">
        <v>9372610</v>
      </c>
      <c r="O223">
        <v>36.093499999999999</v>
      </c>
      <c r="P223">
        <v>1.0038</v>
      </c>
      <c r="Q223">
        <v>4.24</v>
      </c>
    </row>
    <row r="224" spans="1:17" x14ac:dyDescent="0.35">
      <c r="A224">
        <v>200</v>
      </c>
      <c r="B224" t="s">
        <v>682</v>
      </c>
      <c r="C224" t="s">
        <v>683</v>
      </c>
      <c r="D224" t="s">
        <v>684</v>
      </c>
      <c r="E224" t="s">
        <v>42</v>
      </c>
      <c r="F224">
        <v>99465</v>
      </c>
      <c r="G224">
        <v>100442</v>
      </c>
      <c r="H224">
        <v>102803</v>
      </c>
      <c r="I224">
        <v>106142</v>
      </c>
      <c r="J224">
        <v>108185</v>
      </c>
      <c r="K224">
        <v>100685</v>
      </c>
      <c r="L224">
        <v>96640</v>
      </c>
      <c r="M224">
        <v>63446</v>
      </c>
      <c r="N224">
        <v>347</v>
      </c>
      <c r="O224">
        <v>286.64269999999999</v>
      </c>
      <c r="P224">
        <v>0.99370000000000003</v>
      </c>
      <c r="Q224">
        <v>0</v>
      </c>
    </row>
    <row r="225" spans="1:17" x14ac:dyDescent="0.35">
      <c r="A225">
        <v>133</v>
      </c>
      <c r="B225" t="s">
        <v>685</v>
      </c>
      <c r="C225" t="s">
        <v>686</v>
      </c>
      <c r="D225" t="s">
        <v>687</v>
      </c>
      <c r="E225" t="s">
        <v>49</v>
      </c>
      <c r="F225">
        <v>3422794</v>
      </c>
      <c r="G225">
        <v>3429086</v>
      </c>
      <c r="H225">
        <v>3402818</v>
      </c>
      <c r="I225">
        <v>3352651</v>
      </c>
      <c r="J225">
        <v>3292224</v>
      </c>
      <c r="K225">
        <v>3117012</v>
      </c>
      <c r="L225">
        <v>2953750</v>
      </c>
      <c r="M225">
        <v>2790265</v>
      </c>
      <c r="N225">
        <v>181034</v>
      </c>
      <c r="O225">
        <v>18.9069</v>
      </c>
      <c r="P225">
        <v>0.999</v>
      </c>
      <c r="Q225">
        <v>0.04</v>
      </c>
    </row>
    <row r="226" spans="1:17" x14ac:dyDescent="0.35">
      <c r="A226">
        <v>43</v>
      </c>
      <c r="B226" t="s">
        <v>688</v>
      </c>
      <c r="C226" t="s">
        <v>689</v>
      </c>
      <c r="D226" t="s">
        <v>690</v>
      </c>
      <c r="E226" t="s">
        <v>20</v>
      </c>
      <c r="F226">
        <v>34627652</v>
      </c>
      <c r="G226">
        <v>33526656</v>
      </c>
      <c r="H226">
        <v>30949417</v>
      </c>
      <c r="I226">
        <v>28614227</v>
      </c>
      <c r="J226">
        <v>24925554</v>
      </c>
      <c r="K226">
        <v>20579100</v>
      </c>
      <c r="L226">
        <v>15947129</v>
      </c>
      <c r="M226">
        <v>12011361</v>
      </c>
      <c r="N226">
        <v>447400</v>
      </c>
      <c r="O226">
        <v>77.397499999999994</v>
      </c>
      <c r="P226">
        <v>1.016</v>
      </c>
      <c r="Q226">
        <v>0.43</v>
      </c>
    </row>
    <row r="227" spans="1:17" x14ac:dyDescent="0.35">
      <c r="A227">
        <v>181</v>
      </c>
      <c r="B227" t="s">
        <v>691</v>
      </c>
      <c r="C227" t="s">
        <v>692</v>
      </c>
      <c r="D227" t="s">
        <v>693</v>
      </c>
      <c r="E227" t="s">
        <v>32</v>
      </c>
      <c r="F227">
        <v>326740</v>
      </c>
      <c r="G227">
        <v>311685</v>
      </c>
      <c r="H227">
        <v>276438</v>
      </c>
      <c r="I227">
        <v>245453</v>
      </c>
      <c r="J227">
        <v>192074</v>
      </c>
      <c r="K227">
        <v>150882</v>
      </c>
      <c r="L227">
        <v>118156</v>
      </c>
      <c r="M227">
        <v>87019</v>
      </c>
      <c r="N227">
        <v>12189</v>
      </c>
      <c r="O227">
        <v>26.806100000000001</v>
      </c>
      <c r="P227">
        <v>1.0238</v>
      </c>
      <c r="Q227">
        <v>0</v>
      </c>
    </row>
    <row r="228" spans="1:17" x14ac:dyDescent="0.35">
      <c r="A228">
        <v>234</v>
      </c>
      <c r="B228" t="s">
        <v>694</v>
      </c>
      <c r="C228" t="s">
        <v>695</v>
      </c>
      <c r="D228" t="s">
        <v>695</v>
      </c>
      <c r="E228" t="s">
        <v>24</v>
      </c>
      <c r="F228">
        <v>510</v>
      </c>
      <c r="G228">
        <v>520</v>
      </c>
      <c r="H228">
        <v>564</v>
      </c>
      <c r="I228">
        <v>596</v>
      </c>
      <c r="J228">
        <v>651</v>
      </c>
      <c r="K228">
        <v>700</v>
      </c>
      <c r="L228">
        <v>733</v>
      </c>
      <c r="M228">
        <v>752</v>
      </c>
      <c r="N228">
        <v>1</v>
      </c>
      <c r="O228">
        <v>510</v>
      </c>
      <c r="P228">
        <v>0.998</v>
      </c>
      <c r="Q228">
        <v>0</v>
      </c>
    </row>
    <row r="229" spans="1:17" x14ac:dyDescent="0.35">
      <c r="A229">
        <v>51</v>
      </c>
      <c r="B229" t="s">
        <v>696</v>
      </c>
      <c r="C229" t="s">
        <v>697</v>
      </c>
      <c r="D229" t="s">
        <v>698</v>
      </c>
      <c r="E229" t="s">
        <v>49</v>
      </c>
      <c r="F229">
        <v>28301696</v>
      </c>
      <c r="G229">
        <v>28490453</v>
      </c>
      <c r="H229">
        <v>30529716</v>
      </c>
      <c r="I229">
        <v>28715022</v>
      </c>
      <c r="J229">
        <v>24427729</v>
      </c>
      <c r="K229">
        <v>19750579</v>
      </c>
      <c r="L229">
        <v>15210443</v>
      </c>
      <c r="M229">
        <v>11355475</v>
      </c>
      <c r="N229">
        <v>916445</v>
      </c>
      <c r="O229">
        <v>30.882000000000001</v>
      </c>
      <c r="P229">
        <v>1.0036</v>
      </c>
      <c r="Q229">
        <v>0.35</v>
      </c>
    </row>
    <row r="230" spans="1:17" x14ac:dyDescent="0.35">
      <c r="A230">
        <v>16</v>
      </c>
      <c r="B230" t="s">
        <v>699</v>
      </c>
      <c r="C230" t="s">
        <v>700</v>
      </c>
      <c r="D230" t="s">
        <v>701</v>
      </c>
      <c r="E230" t="s">
        <v>20</v>
      </c>
      <c r="F230">
        <v>98186856</v>
      </c>
      <c r="G230">
        <v>96648685</v>
      </c>
      <c r="H230">
        <v>92191398</v>
      </c>
      <c r="I230">
        <v>87411012</v>
      </c>
      <c r="J230">
        <v>79001142</v>
      </c>
      <c r="K230">
        <v>66912613</v>
      </c>
      <c r="L230">
        <v>52968270</v>
      </c>
      <c r="M230">
        <v>41928849</v>
      </c>
      <c r="N230">
        <v>331212</v>
      </c>
      <c r="O230">
        <v>296.44720000000001</v>
      </c>
      <c r="P230">
        <v>1.0074000000000001</v>
      </c>
      <c r="Q230">
        <v>1.23</v>
      </c>
    </row>
    <row r="231" spans="1:17" x14ac:dyDescent="0.35">
      <c r="A231">
        <v>226</v>
      </c>
      <c r="B231" t="s">
        <v>702</v>
      </c>
      <c r="C231" t="s">
        <v>703</v>
      </c>
      <c r="D231" t="s">
        <v>704</v>
      </c>
      <c r="E231" t="s">
        <v>32</v>
      </c>
      <c r="F231">
        <v>11572</v>
      </c>
      <c r="G231">
        <v>11655</v>
      </c>
      <c r="H231">
        <v>12182</v>
      </c>
      <c r="I231">
        <v>13142</v>
      </c>
      <c r="J231">
        <v>14723</v>
      </c>
      <c r="K231">
        <v>13454</v>
      </c>
      <c r="L231">
        <v>11315</v>
      </c>
      <c r="M231">
        <v>9377</v>
      </c>
      <c r="N231">
        <v>142</v>
      </c>
      <c r="O231">
        <v>81.492999999999995</v>
      </c>
      <c r="P231">
        <v>0.99529999999999996</v>
      </c>
      <c r="Q231">
        <v>0</v>
      </c>
    </row>
    <row r="232" spans="1:17" x14ac:dyDescent="0.35">
      <c r="A232">
        <v>172</v>
      </c>
      <c r="B232" t="s">
        <v>705</v>
      </c>
      <c r="C232" t="s">
        <v>706</v>
      </c>
      <c r="D232" t="s">
        <v>707</v>
      </c>
      <c r="E232" t="s">
        <v>28</v>
      </c>
      <c r="F232">
        <v>575986</v>
      </c>
      <c r="G232">
        <v>556048</v>
      </c>
      <c r="H232">
        <v>491824</v>
      </c>
      <c r="I232">
        <v>413296</v>
      </c>
      <c r="J232">
        <v>270375</v>
      </c>
      <c r="K232">
        <v>178529</v>
      </c>
      <c r="L232">
        <v>116775</v>
      </c>
      <c r="M232">
        <v>76371</v>
      </c>
      <c r="N232">
        <v>266000</v>
      </c>
      <c r="O232">
        <v>2.1654</v>
      </c>
      <c r="P232">
        <v>1.0184</v>
      </c>
      <c r="Q232">
        <v>0.01</v>
      </c>
    </row>
    <row r="233" spans="1:17" x14ac:dyDescent="0.35">
      <c r="A233">
        <v>46</v>
      </c>
      <c r="B233" t="s">
        <v>708</v>
      </c>
      <c r="C233" t="s">
        <v>709</v>
      </c>
      <c r="D233" t="s">
        <v>710</v>
      </c>
      <c r="E233" t="s">
        <v>20</v>
      </c>
      <c r="F233">
        <v>33696614</v>
      </c>
      <c r="G233">
        <v>32284046</v>
      </c>
      <c r="H233">
        <v>28516545</v>
      </c>
      <c r="I233">
        <v>24743946</v>
      </c>
      <c r="J233">
        <v>18628700</v>
      </c>
      <c r="K233">
        <v>13375121</v>
      </c>
      <c r="L233">
        <v>9204938</v>
      </c>
      <c r="M233">
        <v>6843607</v>
      </c>
      <c r="N233">
        <v>527968</v>
      </c>
      <c r="O233">
        <v>63.8232</v>
      </c>
      <c r="P233">
        <v>1.0217000000000001</v>
      </c>
      <c r="Q233">
        <v>0.42</v>
      </c>
    </row>
    <row r="234" spans="1:17" x14ac:dyDescent="0.35">
      <c r="A234">
        <v>63</v>
      </c>
      <c r="B234" t="s">
        <v>711</v>
      </c>
      <c r="C234" t="s">
        <v>712</v>
      </c>
      <c r="D234" t="s">
        <v>713</v>
      </c>
      <c r="E234" t="s">
        <v>28</v>
      </c>
      <c r="F234">
        <v>20017675</v>
      </c>
      <c r="G234">
        <v>18927715</v>
      </c>
      <c r="H234">
        <v>16248230</v>
      </c>
      <c r="I234">
        <v>13792086</v>
      </c>
      <c r="J234">
        <v>9891136</v>
      </c>
      <c r="K234">
        <v>7686401</v>
      </c>
      <c r="L234">
        <v>5720438</v>
      </c>
      <c r="M234">
        <v>4281671</v>
      </c>
      <c r="N234">
        <v>752612</v>
      </c>
      <c r="O234">
        <v>26.5976</v>
      </c>
      <c r="P234">
        <v>1.028</v>
      </c>
      <c r="Q234">
        <v>0.25</v>
      </c>
    </row>
    <row r="235" spans="1:17" x14ac:dyDescent="0.35">
      <c r="A235">
        <v>74</v>
      </c>
      <c r="B235" t="s">
        <v>714</v>
      </c>
      <c r="C235" t="s">
        <v>715</v>
      </c>
      <c r="D235" t="s">
        <v>716</v>
      </c>
      <c r="E235" t="s">
        <v>28</v>
      </c>
      <c r="F235">
        <v>16320537</v>
      </c>
      <c r="G235">
        <v>15669666</v>
      </c>
      <c r="H235">
        <v>14154937</v>
      </c>
      <c r="I235">
        <v>12839771</v>
      </c>
      <c r="J235">
        <v>11834676</v>
      </c>
      <c r="K235">
        <v>10113893</v>
      </c>
      <c r="L235">
        <v>7049926</v>
      </c>
      <c r="M235">
        <v>5202918</v>
      </c>
      <c r="N235">
        <v>390757</v>
      </c>
      <c r="O235">
        <v>41.766500000000001</v>
      </c>
      <c r="P235">
        <v>1.0204</v>
      </c>
      <c r="Q235">
        <v>0.2</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1388E9-F7E3-40FE-A603-E8D37AA2AE4C}">
  <sheetPr codeName="Sheet3"/>
  <dimension ref="A1:R235"/>
  <sheetViews>
    <sheetView zoomScale="67" zoomScaleNormal="116" workbookViewId="0"/>
  </sheetViews>
  <sheetFormatPr defaultRowHeight="14.5" x14ac:dyDescent="0.35"/>
  <cols>
    <col min="1" max="1" width="8.7265625" style="5"/>
    <col min="2" max="2" width="7" customWidth="1"/>
    <col min="3" max="3" width="7.1796875" customWidth="1"/>
    <col min="4" max="4" width="28.7265625" bestFit="1" customWidth="1"/>
    <col min="5" max="5" width="18.54296875" bestFit="1" customWidth="1"/>
    <col min="6" max="6" width="13" bestFit="1" customWidth="1"/>
    <col min="7" max="14" width="16.453125" style="1" customWidth="1"/>
    <col min="15" max="15" width="12.90625" style="2" customWidth="1"/>
    <col min="16" max="16" width="18.54296875" style="3" customWidth="1"/>
    <col min="17" max="17" width="13.453125" style="3" customWidth="1"/>
    <col min="18" max="18" width="27.453125" customWidth="1"/>
  </cols>
  <sheetData>
    <row r="1" spans="2:18" x14ac:dyDescent="0.35">
      <c r="B1" t="s">
        <v>0</v>
      </c>
      <c r="C1" t="s">
        <v>1</v>
      </c>
      <c r="D1" t="s">
        <v>2</v>
      </c>
      <c r="E1" t="s">
        <v>3</v>
      </c>
      <c r="F1" t="s">
        <v>4</v>
      </c>
      <c r="G1" s="1" t="s">
        <v>5</v>
      </c>
      <c r="H1" s="1" t="s">
        <v>6</v>
      </c>
      <c r="I1" s="1" t="s">
        <v>7</v>
      </c>
      <c r="J1" s="1" t="s">
        <v>8</v>
      </c>
      <c r="K1" s="1" t="s">
        <v>9</v>
      </c>
      <c r="L1" s="1" t="s">
        <v>10</v>
      </c>
      <c r="M1" s="1" t="s">
        <v>11</v>
      </c>
      <c r="N1" s="1" t="s">
        <v>12</v>
      </c>
      <c r="O1" s="2" t="s">
        <v>13</v>
      </c>
      <c r="P1" s="3" t="s">
        <v>14</v>
      </c>
      <c r="Q1" s="3" t="s">
        <v>15</v>
      </c>
      <c r="R1" t="s">
        <v>16</v>
      </c>
    </row>
    <row r="2" spans="2:18" x14ac:dyDescent="0.35">
      <c r="B2">
        <v>36</v>
      </c>
      <c r="C2" t="s">
        <v>17</v>
      </c>
      <c r="D2" t="s">
        <v>18</v>
      </c>
      <c r="E2" t="s">
        <v>19</v>
      </c>
      <c r="F2" t="s">
        <v>20</v>
      </c>
      <c r="G2" s="1">
        <v>41128771</v>
      </c>
      <c r="H2" s="1">
        <v>38972230</v>
      </c>
      <c r="I2" s="1">
        <v>33753499</v>
      </c>
      <c r="J2" s="1">
        <v>28189672</v>
      </c>
      <c r="K2" s="1">
        <v>19542982</v>
      </c>
      <c r="L2" s="1">
        <v>10694796</v>
      </c>
      <c r="M2" s="1">
        <v>12486631</v>
      </c>
      <c r="N2" s="1">
        <v>10752971</v>
      </c>
      <c r="O2" s="2">
        <v>652230</v>
      </c>
      <c r="P2" s="3">
        <v>63.058700000000002</v>
      </c>
      <c r="Q2" s="3">
        <v>1.0257000000000001</v>
      </c>
      <c r="R2">
        <v>0.52</v>
      </c>
    </row>
    <row r="3" spans="2:18" x14ac:dyDescent="0.35">
      <c r="B3">
        <v>138</v>
      </c>
      <c r="C3" t="s">
        <v>21</v>
      </c>
      <c r="D3" t="s">
        <v>22</v>
      </c>
      <c r="E3" t="s">
        <v>23</v>
      </c>
      <c r="F3" t="s">
        <v>24</v>
      </c>
      <c r="G3" s="1">
        <v>2842321</v>
      </c>
      <c r="H3" s="1">
        <v>2866849</v>
      </c>
      <c r="I3" s="1">
        <v>2882481</v>
      </c>
      <c r="J3" s="1">
        <v>2913399</v>
      </c>
      <c r="K3" s="1">
        <v>3182021</v>
      </c>
      <c r="L3" s="1">
        <v>3295066</v>
      </c>
      <c r="M3" s="1">
        <v>2941651</v>
      </c>
      <c r="N3" s="1">
        <v>2324731</v>
      </c>
      <c r="O3" s="2">
        <v>28748</v>
      </c>
      <c r="P3" s="3">
        <v>98.870199999999997</v>
      </c>
      <c r="Q3" s="3">
        <v>0.99570000000000003</v>
      </c>
      <c r="R3">
        <v>0.04</v>
      </c>
    </row>
    <row r="4" spans="2:18" x14ac:dyDescent="0.35">
      <c r="B4">
        <v>34</v>
      </c>
      <c r="C4" t="s">
        <v>25</v>
      </c>
      <c r="D4" t="s">
        <v>26</v>
      </c>
      <c r="E4" t="s">
        <v>27</v>
      </c>
      <c r="F4" t="s">
        <v>28</v>
      </c>
      <c r="G4" s="1">
        <v>44903225</v>
      </c>
      <c r="H4" s="1">
        <v>43451666</v>
      </c>
      <c r="I4" s="1">
        <v>39543154</v>
      </c>
      <c r="J4" s="1">
        <v>35856344</v>
      </c>
      <c r="K4" s="1">
        <v>30774621</v>
      </c>
      <c r="L4" s="1">
        <v>25518074</v>
      </c>
      <c r="M4" s="1">
        <v>18739378</v>
      </c>
      <c r="N4" s="1">
        <v>13795915</v>
      </c>
      <c r="O4" s="2">
        <v>2381741</v>
      </c>
      <c r="P4" s="3">
        <v>18.853100000000001</v>
      </c>
      <c r="Q4" s="3">
        <v>1.0164</v>
      </c>
      <c r="R4">
        <v>0.56000000000000005</v>
      </c>
    </row>
    <row r="5" spans="2:18" x14ac:dyDescent="0.35">
      <c r="B5">
        <v>213</v>
      </c>
      <c r="C5" t="s">
        <v>29</v>
      </c>
      <c r="D5" t="s">
        <v>30</v>
      </c>
      <c r="E5" t="s">
        <v>31</v>
      </c>
      <c r="F5" t="s">
        <v>32</v>
      </c>
      <c r="G5" s="1">
        <v>44273</v>
      </c>
      <c r="H5" s="1">
        <v>46189</v>
      </c>
      <c r="I5" s="1">
        <v>51368</v>
      </c>
      <c r="J5" s="1">
        <v>54849</v>
      </c>
      <c r="K5" s="1">
        <v>58230</v>
      </c>
      <c r="L5" s="1">
        <v>47818</v>
      </c>
      <c r="M5" s="1">
        <v>32886</v>
      </c>
      <c r="N5" s="1">
        <v>27075</v>
      </c>
      <c r="O5" s="2">
        <v>199</v>
      </c>
      <c r="P5" s="3">
        <v>222.47739999999999</v>
      </c>
      <c r="Q5" s="3">
        <v>0.98309999999999997</v>
      </c>
      <c r="R5">
        <v>0</v>
      </c>
    </row>
    <row r="6" spans="2:18" x14ac:dyDescent="0.35">
      <c r="B6">
        <v>203</v>
      </c>
      <c r="C6" t="s">
        <v>33</v>
      </c>
      <c r="D6" t="s">
        <v>34</v>
      </c>
      <c r="E6" t="s">
        <v>35</v>
      </c>
      <c r="F6" t="s">
        <v>24</v>
      </c>
      <c r="G6" s="1">
        <v>79824</v>
      </c>
      <c r="H6" s="1">
        <v>77700</v>
      </c>
      <c r="I6" s="1">
        <v>71746</v>
      </c>
      <c r="J6" s="1">
        <v>71519</v>
      </c>
      <c r="K6" s="1">
        <v>66097</v>
      </c>
      <c r="L6" s="1">
        <v>53569</v>
      </c>
      <c r="M6" s="1">
        <v>35611</v>
      </c>
      <c r="N6" s="1">
        <v>19860</v>
      </c>
      <c r="O6" s="2">
        <v>468</v>
      </c>
      <c r="P6" s="3">
        <v>170.5641</v>
      </c>
      <c r="Q6" s="3">
        <v>1.01</v>
      </c>
      <c r="R6">
        <v>0</v>
      </c>
    </row>
    <row r="7" spans="2:18" x14ac:dyDescent="0.35">
      <c r="B7">
        <v>42</v>
      </c>
      <c r="C7" t="s">
        <v>36</v>
      </c>
      <c r="D7" t="s">
        <v>37</v>
      </c>
      <c r="E7" t="s">
        <v>38</v>
      </c>
      <c r="F7" t="s">
        <v>28</v>
      </c>
      <c r="G7" s="1">
        <v>35588987</v>
      </c>
      <c r="H7" s="1">
        <v>33428485</v>
      </c>
      <c r="I7" s="1">
        <v>28127721</v>
      </c>
      <c r="J7" s="1">
        <v>23364185</v>
      </c>
      <c r="K7" s="1">
        <v>16394062</v>
      </c>
      <c r="L7" s="1">
        <v>11828638</v>
      </c>
      <c r="M7" s="1">
        <v>8330047</v>
      </c>
      <c r="N7" s="1">
        <v>6029700</v>
      </c>
      <c r="O7" s="2">
        <v>1246700</v>
      </c>
      <c r="P7" s="3">
        <v>28.546600000000002</v>
      </c>
      <c r="Q7" s="3">
        <v>1.0315000000000001</v>
      </c>
      <c r="R7">
        <v>0.45</v>
      </c>
    </row>
    <row r="8" spans="2:18" x14ac:dyDescent="0.35">
      <c r="B8">
        <v>224</v>
      </c>
      <c r="C8" t="s">
        <v>39</v>
      </c>
      <c r="D8" t="s">
        <v>40</v>
      </c>
      <c r="E8" t="s">
        <v>41</v>
      </c>
      <c r="F8" t="s">
        <v>42</v>
      </c>
      <c r="G8" s="1">
        <v>15857</v>
      </c>
      <c r="H8" s="1">
        <v>15585</v>
      </c>
      <c r="I8" s="1">
        <v>14525</v>
      </c>
      <c r="J8" s="1">
        <v>13172</v>
      </c>
      <c r="K8" s="1">
        <v>11047</v>
      </c>
      <c r="L8" s="1">
        <v>8316</v>
      </c>
      <c r="M8" s="1">
        <v>6560</v>
      </c>
      <c r="N8" s="1">
        <v>6283</v>
      </c>
      <c r="O8" s="2">
        <v>91</v>
      </c>
      <c r="P8" s="3">
        <v>174.2527</v>
      </c>
      <c r="Q8" s="3">
        <v>1.0065999999999999</v>
      </c>
      <c r="R8">
        <v>0</v>
      </c>
    </row>
    <row r="9" spans="2:18" x14ac:dyDescent="0.35">
      <c r="B9">
        <v>201</v>
      </c>
      <c r="C9" t="s">
        <v>43</v>
      </c>
      <c r="D9" t="s">
        <v>44</v>
      </c>
      <c r="E9" t="s">
        <v>45</v>
      </c>
      <c r="F9" t="s">
        <v>42</v>
      </c>
      <c r="G9" s="1">
        <v>93763</v>
      </c>
      <c r="H9" s="1">
        <v>92664</v>
      </c>
      <c r="I9" s="1">
        <v>89941</v>
      </c>
      <c r="J9" s="1">
        <v>85695</v>
      </c>
      <c r="K9" s="1">
        <v>75055</v>
      </c>
      <c r="L9" s="1">
        <v>63328</v>
      </c>
      <c r="M9" s="1">
        <v>64888</v>
      </c>
      <c r="N9" s="1">
        <v>64516</v>
      </c>
      <c r="O9" s="2">
        <v>442</v>
      </c>
      <c r="P9" s="3">
        <v>212.1335</v>
      </c>
      <c r="Q9" s="3">
        <v>1.0058</v>
      </c>
      <c r="R9">
        <v>0</v>
      </c>
    </row>
    <row r="10" spans="2:18" x14ac:dyDescent="0.35">
      <c r="B10">
        <v>33</v>
      </c>
      <c r="C10" t="s">
        <v>46</v>
      </c>
      <c r="D10" t="s">
        <v>47</v>
      </c>
      <c r="E10" t="s">
        <v>48</v>
      </c>
      <c r="F10" t="s">
        <v>49</v>
      </c>
      <c r="G10" s="1">
        <v>45510318</v>
      </c>
      <c r="H10" s="1">
        <v>45036032</v>
      </c>
      <c r="I10" s="1">
        <v>43257065</v>
      </c>
      <c r="J10" s="1">
        <v>41100123</v>
      </c>
      <c r="K10" s="1">
        <v>37070774</v>
      </c>
      <c r="L10" s="1">
        <v>32637657</v>
      </c>
      <c r="M10" s="1">
        <v>28024803</v>
      </c>
      <c r="N10" s="1">
        <v>23842803</v>
      </c>
      <c r="O10" s="2">
        <v>2780400</v>
      </c>
      <c r="P10" s="3">
        <v>16.368300000000001</v>
      </c>
      <c r="Q10" s="3">
        <v>1.0052000000000001</v>
      </c>
      <c r="R10">
        <v>0.56999999999999995</v>
      </c>
    </row>
    <row r="11" spans="2:18" x14ac:dyDescent="0.35">
      <c r="B11">
        <v>140</v>
      </c>
      <c r="C11" t="s">
        <v>50</v>
      </c>
      <c r="D11" t="s">
        <v>51</v>
      </c>
      <c r="E11" t="s">
        <v>52</v>
      </c>
      <c r="F11" t="s">
        <v>20</v>
      </c>
      <c r="G11" s="1">
        <v>2780469</v>
      </c>
      <c r="H11" s="1">
        <v>2805608</v>
      </c>
      <c r="I11" s="1">
        <v>2878595</v>
      </c>
      <c r="J11" s="1">
        <v>2946293</v>
      </c>
      <c r="K11" s="1">
        <v>3168523</v>
      </c>
      <c r="L11" s="1">
        <v>3556539</v>
      </c>
      <c r="M11" s="1">
        <v>3135123</v>
      </c>
      <c r="N11" s="1">
        <v>2534377</v>
      </c>
      <c r="O11" s="2">
        <v>29743</v>
      </c>
      <c r="P11" s="3">
        <v>93.483099999999993</v>
      </c>
      <c r="Q11" s="3">
        <v>0.99619999999999997</v>
      </c>
      <c r="R11">
        <v>0.03</v>
      </c>
    </row>
    <row r="12" spans="2:18" x14ac:dyDescent="0.35">
      <c r="B12">
        <v>198</v>
      </c>
      <c r="C12" t="s">
        <v>53</v>
      </c>
      <c r="D12" t="s">
        <v>54</v>
      </c>
      <c r="E12" t="s">
        <v>55</v>
      </c>
      <c r="F12" t="s">
        <v>42</v>
      </c>
      <c r="G12" s="1">
        <v>106445</v>
      </c>
      <c r="H12" s="1">
        <v>106585</v>
      </c>
      <c r="I12" s="1">
        <v>104257</v>
      </c>
      <c r="J12" s="1">
        <v>100341</v>
      </c>
      <c r="K12" s="1">
        <v>89101</v>
      </c>
      <c r="L12" s="1">
        <v>65712</v>
      </c>
      <c r="M12" s="1">
        <v>62267</v>
      </c>
      <c r="N12" s="1">
        <v>59106</v>
      </c>
      <c r="O12" s="2">
        <v>180</v>
      </c>
      <c r="P12" s="3">
        <v>591.36109999999996</v>
      </c>
      <c r="Q12" s="3">
        <v>0.99909999999999999</v>
      </c>
      <c r="R12">
        <v>0</v>
      </c>
    </row>
    <row r="13" spans="2:18" x14ac:dyDescent="0.35">
      <c r="B13">
        <v>55</v>
      </c>
      <c r="C13" t="s">
        <v>56</v>
      </c>
      <c r="D13" t="s">
        <v>57</v>
      </c>
      <c r="E13" t="s">
        <v>58</v>
      </c>
      <c r="F13" t="s">
        <v>32</v>
      </c>
      <c r="G13" s="1">
        <v>26177413</v>
      </c>
      <c r="H13" s="1">
        <v>25670051</v>
      </c>
      <c r="I13" s="1">
        <v>23820236</v>
      </c>
      <c r="J13" s="1">
        <v>22019168</v>
      </c>
      <c r="K13" s="1">
        <v>19017963</v>
      </c>
      <c r="L13" s="1">
        <v>17048003</v>
      </c>
      <c r="M13" s="1">
        <v>14706322</v>
      </c>
      <c r="N13" s="1">
        <v>12595034</v>
      </c>
      <c r="O13" s="2">
        <v>7692024</v>
      </c>
      <c r="P13" s="3">
        <v>3.4032</v>
      </c>
      <c r="Q13" s="3">
        <v>1.0099</v>
      </c>
      <c r="R13">
        <v>0.33</v>
      </c>
    </row>
    <row r="14" spans="2:18" x14ac:dyDescent="0.35">
      <c r="B14">
        <v>99</v>
      </c>
      <c r="C14" t="s">
        <v>59</v>
      </c>
      <c r="D14" t="s">
        <v>60</v>
      </c>
      <c r="E14" t="s">
        <v>61</v>
      </c>
      <c r="F14" t="s">
        <v>24</v>
      </c>
      <c r="G14" s="1">
        <v>8939617</v>
      </c>
      <c r="H14" s="1">
        <v>8907777</v>
      </c>
      <c r="I14" s="1">
        <v>8642421</v>
      </c>
      <c r="J14" s="1">
        <v>8362829</v>
      </c>
      <c r="K14" s="1">
        <v>8010428</v>
      </c>
      <c r="L14" s="1">
        <v>7678729</v>
      </c>
      <c r="M14" s="1">
        <v>7547561</v>
      </c>
      <c r="N14" s="1">
        <v>7465301</v>
      </c>
      <c r="O14" s="2">
        <v>83871</v>
      </c>
      <c r="P14" s="3">
        <v>106.5877</v>
      </c>
      <c r="Q14" s="3">
        <v>1.002</v>
      </c>
      <c r="R14">
        <v>0.11</v>
      </c>
    </row>
    <row r="15" spans="2:18" x14ac:dyDescent="0.35">
      <c r="B15">
        <v>91</v>
      </c>
      <c r="C15" t="s">
        <v>62</v>
      </c>
      <c r="D15" t="s">
        <v>63</v>
      </c>
      <c r="E15" t="s">
        <v>64</v>
      </c>
      <c r="F15" t="s">
        <v>20</v>
      </c>
      <c r="G15" s="1">
        <v>10358074</v>
      </c>
      <c r="H15" s="1">
        <v>10284951</v>
      </c>
      <c r="I15" s="1">
        <v>9863480</v>
      </c>
      <c r="J15" s="1">
        <v>9237202</v>
      </c>
      <c r="K15" s="1">
        <v>8190337</v>
      </c>
      <c r="L15" s="1">
        <v>7427836</v>
      </c>
      <c r="M15" s="1">
        <v>6383060</v>
      </c>
      <c r="N15" s="1">
        <v>5425317</v>
      </c>
      <c r="O15" s="2">
        <v>86600</v>
      </c>
      <c r="P15" s="3">
        <v>119.6082</v>
      </c>
      <c r="Q15" s="3">
        <v>1.0044</v>
      </c>
      <c r="R15">
        <v>0.13</v>
      </c>
    </row>
    <row r="16" spans="2:18" x14ac:dyDescent="0.35">
      <c r="B16">
        <v>176</v>
      </c>
      <c r="C16" t="s">
        <v>65</v>
      </c>
      <c r="D16" t="s">
        <v>66</v>
      </c>
      <c r="E16" t="s">
        <v>67</v>
      </c>
      <c r="F16" t="s">
        <v>42</v>
      </c>
      <c r="G16" s="1">
        <v>409984</v>
      </c>
      <c r="H16" s="1">
        <v>406471</v>
      </c>
      <c r="I16" s="1">
        <v>392697</v>
      </c>
      <c r="J16" s="1">
        <v>373272</v>
      </c>
      <c r="K16" s="1">
        <v>325014</v>
      </c>
      <c r="L16" s="1">
        <v>270679</v>
      </c>
      <c r="M16" s="1">
        <v>223752</v>
      </c>
      <c r="N16" s="1">
        <v>179129</v>
      </c>
      <c r="O16" s="2">
        <v>13943</v>
      </c>
      <c r="P16" s="3">
        <v>29.404299999999999</v>
      </c>
      <c r="Q16" s="3">
        <v>1.0051000000000001</v>
      </c>
      <c r="R16">
        <v>0.01</v>
      </c>
    </row>
    <row r="17" spans="2:18" x14ac:dyDescent="0.35">
      <c r="B17">
        <v>154</v>
      </c>
      <c r="C17" t="s">
        <v>68</v>
      </c>
      <c r="D17" t="s">
        <v>69</v>
      </c>
      <c r="E17" t="s">
        <v>70</v>
      </c>
      <c r="F17" t="s">
        <v>20</v>
      </c>
      <c r="G17" s="1">
        <v>1472233</v>
      </c>
      <c r="H17" s="1">
        <v>1477469</v>
      </c>
      <c r="I17" s="1">
        <v>1362142</v>
      </c>
      <c r="J17" s="1">
        <v>1213645</v>
      </c>
      <c r="K17" s="1">
        <v>711442</v>
      </c>
      <c r="L17" s="1">
        <v>517418</v>
      </c>
      <c r="M17" s="1">
        <v>362595</v>
      </c>
      <c r="N17" s="1">
        <v>222555</v>
      </c>
      <c r="O17" s="2">
        <v>765</v>
      </c>
      <c r="P17" s="3">
        <v>1924.4875999999999</v>
      </c>
      <c r="Q17" s="3">
        <v>1.0061</v>
      </c>
      <c r="R17">
        <v>0.02</v>
      </c>
    </row>
    <row r="18" spans="2:18" x14ac:dyDescent="0.35">
      <c r="B18">
        <v>8</v>
      </c>
      <c r="C18" t="s">
        <v>71</v>
      </c>
      <c r="D18" t="s">
        <v>72</v>
      </c>
      <c r="E18" t="s">
        <v>73</v>
      </c>
      <c r="F18" t="s">
        <v>20</v>
      </c>
      <c r="G18" s="1">
        <v>171186372</v>
      </c>
      <c r="H18" s="1">
        <v>167420951</v>
      </c>
      <c r="I18" s="1">
        <v>157830000</v>
      </c>
      <c r="J18" s="1">
        <v>148391139</v>
      </c>
      <c r="K18" s="1">
        <v>129193327</v>
      </c>
      <c r="L18" s="1">
        <v>107147651</v>
      </c>
      <c r="M18" s="1">
        <v>83929765</v>
      </c>
      <c r="N18" s="1">
        <v>67541860</v>
      </c>
      <c r="O18" s="2">
        <v>147570</v>
      </c>
      <c r="P18" s="3">
        <v>1160.0350000000001</v>
      </c>
      <c r="Q18" s="3">
        <v>1.0107999999999999</v>
      </c>
      <c r="R18">
        <v>2.15</v>
      </c>
    </row>
    <row r="19" spans="2:18" x14ac:dyDescent="0.35">
      <c r="B19">
        <v>186</v>
      </c>
      <c r="C19" t="s">
        <v>74</v>
      </c>
      <c r="D19" t="s">
        <v>75</v>
      </c>
      <c r="E19" t="s">
        <v>76</v>
      </c>
      <c r="F19" t="s">
        <v>42</v>
      </c>
      <c r="G19" s="1">
        <v>281635</v>
      </c>
      <c r="H19" s="1">
        <v>280693</v>
      </c>
      <c r="I19" s="1">
        <v>278083</v>
      </c>
      <c r="J19" s="1">
        <v>274711</v>
      </c>
      <c r="K19" s="1">
        <v>264657</v>
      </c>
      <c r="L19" s="1">
        <v>258868</v>
      </c>
      <c r="M19" s="1">
        <v>253575</v>
      </c>
      <c r="N19" s="1">
        <v>241397</v>
      </c>
      <c r="O19" s="2">
        <v>430</v>
      </c>
      <c r="P19" s="3">
        <v>654.96510000000001</v>
      </c>
      <c r="Q19" s="3">
        <v>1.0015000000000001</v>
      </c>
      <c r="R19">
        <v>0</v>
      </c>
    </row>
    <row r="20" spans="2:18" x14ac:dyDescent="0.35">
      <c r="B20">
        <v>96</v>
      </c>
      <c r="C20" t="s">
        <v>77</v>
      </c>
      <c r="D20" t="s">
        <v>78</v>
      </c>
      <c r="E20" t="s">
        <v>79</v>
      </c>
      <c r="F20" t="s">
        <v>24</v>
      </c>
      <c r="G20" s="1">
        <v>9534954</v>
      </c>
      <c r="H20" s="1">
        <v>9633740</v>
      </c>
      <c r="I20" s="1">
        <v>9700609</v>
      </c>
      <c r="J20" s="1">
        <v>9731427</v>
      </c>
      <c r="K20" s="1">
        <v>10256483</v>
      </c>
      <c r="L20" s="1">
        <v>10428525</v>
      </c>
      <c r="M20" s="1">
        <v>9817257</v>
      </c>
      <c r="N20" s="1">
        <v>9170786</v>
      </c>
      <c r="O20" s="2">
        <v>207600</v>
      </c>
      <c r="P20" s="3">
        <v>45.929499999999997</v>
      </c>
      <c r="Q20" s="3">
        <v>0.99550000000000005</v>
      </c>
      <c r="R20">
        <v>0.12</v>
      </c>
    </row>
    <row r="21" spans="2:18" x14ac:dyDescent="0.35">
      <c r="B21">
        <v>81</v>
      </c>
      <c r="C21" t="s">
        <v>80</v>
      </c>
      <c r="D21" t="s">
        <v>81</v>
      </c>
      <c r="E21" t="s">
        <v>82</v>
      </c>
      <c r="F21" t="s">
        <v>24</v>
      </c>
      <c r="G21" s="1">
        <v>11655930</v>
      </c>
      <c r="H21" s="1">
        <v>11561717</v>
      </c>
      <c r="I21" s="1">
        <v>11248303</v>
      </c>
      <c r="J21" s="1">
        <v>10877947</v>
      </c>
      <c r="K21" s="1">
        <v>10264343</v>
      </c>
      <c r="L21" s="1">
        <v>9959560</v>
      </c>
      <c r="M21" s="1">
        <v>9828986</v>
      </c>
      <c r="N21" s="1">
        <v>9629376</v>
      </c>
      <c r="O21" s="2">
        <v>30528</v>
      </c>
      <c r="P21" s="3">
        <v>381.81110000000001</v>
      </c>
      <c r="Q21" s="3">
        <v>1.0038</v>
      </c>
      <c r="R21">
        <v>0.15</v>
      </c>
    </row>
    <row r="22" spans="2:18" x14ac:dyDescent="0.35">
      <c r="B22">
        <v>177</v>
      </c>
      <c r="C22" t="s">
        <v>83</v>
      </c>
      <c r="D22" t="s">
        <v>84</v>
      </c>
      <c r="E22" t="s">
        <v>85</v>
      </c>
      <c r="F22" t="s">
        <v>42</v>
      </c>
      <c r="G22" s="1">
        <v>405272</v>
      </c>
      <c r="H22" s="1">
        <v>394921</v>
      </c>
      <c r="I22" s="1">
        <v>359871</v>
      </c>
      <c r="J22" s="1">
        <v>322106</v>
      </c>
      <c r="K22" s="1">
        <v>240406</v>
      </c>
      <c r="L22" s="1">
        <v>182589</v>
      </c>
      <c r="M22" s="1">
        <v>145133</v>
      </c>
      <c r="N22" s="1">
        <v>120905</v>
      </c>
      <c r="O22" s="2">
        <v>22966</v>
      </c>
      <c r="P22" s="3">
        <v>17.646599999999999</v>
      </c>
      <c r="Q22" s="3">
        <v>1.0130999999999999</v>
      </c>
      <c r="R22">
        <v>0.01</v>
      </c>
    </row>
    <row r="23" spans="2:18" x14ac:dyDescent="0.35">
      <c r="B23">
        <v>77</v>
      </c>
      <c r="C23" t="s">
        <v>86</v>
      </c>
      <c r="D23" t="s">
        <v>87</v>
      </c>
      <c r="E23" t="s">
        <v>88</v>
      </c>
      <c r="F23" t="s">
        <v>28</v>
      </c>
      <c r="G23" s="1">
        <v>13352864</v>
      </c>
      <c r="H23" s="1">
        <v>12643123</v>
      </c>
      <c r="I23" s="1">
        <v>10932783</v>
      </c>
      <c r="J23" s="1">
        <v>9445710</v>
      </c>
      <c r="K23" s="1">
        <v>6998023</v>
      </c>
      <c r="L23" s="1">
        <v>5133419</v>
      </c>
      <c r="M23" s="1">
        <v>3833939</v>
      </c>
      <c r="N23" s="1">
        <v>3023443</v>
      </c>
      <c r="O23" s="2">
        <v>112622</v>
      </c>
      <c r="P23" s="3">
        <v>118.5635</v>
      </c>
      <c r="Q23" s="3">
        <v>1.0274000000000001</v>
      </c>
      <c r="R23">
        <v>0.17</v>
      </c>
    </row>
    <row r="24" spans="2:18" x14ac:dyDescent="0.35">
      <c r="B24">
        <v>206</v>
      </c>
      <c r="C24" t="s">
        <v>89</v>
      </c>
      <c r="D24" t="s">
        <v>90</v>
      </c>
      <c r="E24" t="s">
        <v>91</v>
      </c>
      <c r="F24" t="s">
        <v>42</v>
      </c>
      <c r="G24" s="1">
        <v>64184</v>
      </c>
      <c r="H24" s="1">
        <v>64031</v>
      </c>
      <c r="I24" s="1">
        <v>63144</v>
      </c>
      <c r="J24" s="1">
        <v>63447</v>
      </c>
      <c r="K24" s="1">
        <v>61371</v>
      </c>
      <c r="L24" s="1">
        <v>57470</v>
      </c>
      <c r="M24" s="1">
        <v>53565</v>
      </c>
      <c r="N24" s="1">
        <v>52019</v>
      </c>
      <c r="O24" s="2">
        <v>54</v>
      </c>
      <c r="P24" s="3">
        <v>1188.5925999999999</v>
      </c>
      <c r="Q24" s="3">
        <v>1</v>
      </c>
      <c r="R24">
        <v>0</v>
      </c>
    </row>
    <row r="25" spans="2:18" x14ac:dyDescent="0.35">
      <c r="B25">
        <v>165</v>
      </c>
      <c r="C25" t="s">
        <v>92</v>
      </c>
      <c r="D25" t="s">
        <v>93</v>
      </c>
      <c r="E25" t="s">
        <v>94</v>
      </c>
      <c r="F25" t="s">
        <v>20</v>
      </c>
      <c r="G25" s="1">
        <v>782455</v>
      </c>
      <c r="H25" s="1">
        <v>772506</v>
      </c>
      <c r="I25" s="1">
        <v>743274</v>
      </c>
      <c r="J25" s="1">
        <v>705516</v>
      </c>
      <c r="K25" s="1">
        <v>587207</v>
      </c>
      <c r="L25" s="1">
        <v>558442</v>
      </c>
      <c r="M25" s="1">
        <v>415257</v>
      </c>
      <c r="N25" s="1">
        <v>298894</v>
      </c>
      <c r="O25" s="2">
        <v>38394</v>
      </c>
      <c r="P25" s="3">
        <v>20.3796</v>
      </c>
      <c r="Q25" s="3">
        <v>1.0064</v>
      </c>
      <c r="R25">
        <v>0.01</v>
      </c>
    </row>
    <row r="26" spans="2:18" x14ac:dyDescent="0.35">
      <c r="B26">
        <v>80</v>
      </c>
      <c r="C26" t="s">
        <v>95</v>
      </c>
      <c r="D26" t="s">
        <v>96</v>
      </c>
      <c r="E26" t="s">
        <v>97</v>
      </c>
      <c r="F26" t="s">
        <v>49</v>
      </c>
      <c r="G26" s="1">
        <v>12224110</v>
      </c>
      <c r="H26" s="1">
        <v>11936162</v>
      </c>
      <c r="I26" s="1">
        <v>11090085</v>
      </c>
      <c r="J26" s="1">
        <v>10223270</v>
      </c>
      <c r="K26" s="1">
        <v>8592656</v>
      </c>
      <c r="L26" s="1">
        <v>7096194</v>
      </c>
      <c r="M26" s="1">
        <v>5736088</v>
      </c>
      <c r="N26" s="1">
        <v>4585693</v>
      </c>
      <c r="O26" s="2">
        <v>1098581</v>
      </c>
      <c r="P26" s="3">
        <v>11.1272</v>
      </c>
      <c r="Q26" s="3">
        <v>1.012</v>
      </c>
      <c r="R26">
        <v>0.15</v>
      </c>
    </row>
    <row r="27" spans="2:18" x14ac:dyDescent="0.35">
      <c r="B27">
        <v>137</v>
      </c>
      <c r="C27" t="s">
        <v>98</v>
      </c>
      <c r="D27" t="s">
        <v>99</v>
      </c>
      <c r="E27" t="s">
        <v>100</v>
      </c>
      <c r="F27" t="s">
        <v>24</v>
      </c>
      <c r="G27" s="1">
        <v>3233526</v>
      </c>
      <c r="H27" s="1">
        <v>3318407</v>
      </c>
      <c r="I27" s="1">
        <v>3524324</v>
      </c>
      <c r="J27" s="1">
        <v>3811088</v>
      </c>
      <c r="K27" s="1">
        <v>4179350</v>
      </c>
      <c r="L27" s="1">
        <v>4494310</v>
      </c>
      <c r="M27" s="1">
        <v>4199820</v>
      </c>
      <c r="N27" s="1">
        <v>3815561</v>
      </c>
      <c r="O27" s="2">
        <v>51209</v>
      </c>
      <c r="P27" s="3">
        <v>63.143700000000003</v>
      </c>
      <c r="Q27" s="3">
        <v>0.98860000000000003</v>
      </c>
      <c r="R27">
        <v>0.04</v>
      </c>
    </row>
    <row r="28" spans="2:18" x14ac:dyDescent="0.35">
      <c r="B28">
        <v>144</v>
      </c>
      <c r="C28" t="s">
        <v>101</v>
      </c>
      <c r="D28" t="s">
        <v>102</v>
      </c>
      <c r="E28" t="s">
        <v>103</v>
      </c>
      <c r="F28" t="s">
        <v>28</v>
      </c>
      <c r="G28" s="1">
        <v>2630296</v>
      </c>
      <c r="H28" s="1">
        <v>2546402</v>
      </c>
      <c r="I28" s="1">
        <v>2305171</v>
      </c>
      <c r="J28" s="1">
        <v>2091664</v>
      </c>
      <c r="K28" s="1">
        <v>1726985</v>
      </c>
      <c r="L28" s="1">
        <v>1341474</v>
      </c>
      <c r="M28" s="1">
        <v>938578</v>
      </c>
      <c r="N28" s="1">
        <v>592244</v>
      </c>
      <c r="O28" s="2">
        <v>582000</v>
      </c>
      <c r="P28" s="3">
        <v>4.5194000000000001</v>
      </c>
      <c r="Q28" s="3">
        <v>1.0162</v>
      </c>
      <c r="R28">
        <v>0.03</v>
      </c>
    </row>
    <row r="29" spans="2:18" x14ac:dyDescent="0.35">
      <c r="B29">
        <v>7</v>
      </c>
      <c r="C29" t="s">
        <v>104</v>
      </c>
      <c r="D29" t="s">
        <v>105</v>
      </c>
      <c r="E29" t="s">
        <v>106</v>
      </c>
      <c r="F29" t="s">
        <v>49</v>
      </c>
      <c r="G29" s="1">
        <v>215313498</v>
      </c>
      <c r="H29" s="1">
        <v>213196304</v>
      </c>
      <c r="I29" s="1">
        <v>205188205</v>
      </c>
      <c r="J29" s="1">
        <v>196353492</v>
      </c>
      <c r="K29" s="1">
        <v>175873720</v>
      </c>
      <c r="L29" s="1">
        <v>150706446</v>
      </c>
      <c r="M29" s="1">
        <v>122288383</v>
      </c>
      <c r="N29" s="1">
        <v>96369875</v>
      </c>
      <c r="O29" s="2">
        <v>8515767</v>
      </c>
      <c r="P29" s="3">
        <v>25.284099999999999</v>
      </c>
      <c r="Q29" s="3">
        <v>1.0045999999999999</v>
      </c>
      <c r="R29">
        <v>2.7</v>
      </c>
    </row>
    <row r="30" spans="2:18" x14ac:dyDescent="0.35">
      <c r="B30">
        <v>221</v>
      </c>
      <c r="C30" t="s">
        <v>107</v>
      </c>
      <c r="D30" t="s">
        <v>108</v>
      </c>
      <c r="E30" t="s">
        <v>109</v>
      </c>
      <c r="F30" t="s">
        <v>42</v>
      </c>
      <c r="G30" s="1">
        <v>31305</v>
      </c>
      <c r="H30" s="1">
        <v>30910</v>
      </c>
      <c r="I30" s="1">
        <v>29366</v>
      </c>
      <c r="J30" s="1">
        <v>27556</v>
      </c>
      <c r="K30" s="1">
        <v>20104</v>
      </c>
      <c r="L30" s="1">
        <v>15617</v>
      </c>
      <c r="M30" s="1">
        <v>11109</v>
      </c>
      <c r="N30" s="1">
        <v>9581</v>
      </c>
      <c r="O30" s="2">
        <v>151</v>
      </c>
      <c r="P30" s="3">
        <v>207.31790000000001</v>
      </c>
      <c r="Q30" s="3">
        <v>1.0059</v>
      </c>
      <c r="R30">
        <v>0</v>
      </c>
    </row>
    <row r="31" spans="2:18" x14ac:dyDescent="0.35">
      <c r="B31">
        <v>175</v>
      </c>
      <c r="C31" t="s">
        <v>110</v>
      </c>
      <c r="D31" t="s">
        <v>111</v>
      </c>
      <c r="E31" t="s">
        <v>112</v>
      </c>
      <c r="F31" t="s">
        <v>20</v>
      </c>
      <c r="G31" s="1">
        <v>449002</v>
      </c>
      <c r="H31" s="1">
        <v>441725</v>
      </c>
      <c r="I31" s="1">
        <v>421437</v>
      </c>
      <c r="J31" s="1">
        <v>396053</v>
      </c>
      <c r="K31" s="1">
        <v>333926</v>
      </c>
      <c r="L31" s="1">
        <v>261928</v>
      </c>
      <c r="M31" s="1">
        <v>187921</v>
      </c>
      <c r="N31" s="1">
        <v>133343</v>
      </c>
      <c r="O31" s="2">
        <v>5765</v>
      </c>
      <c r="P31" s="3">
        <v>77.884100000000004</v>
      </c>
      <c r="Q31" s="3">
        <v>1.0081</v>
      </c>
      <c r="R31">
        <v>0.01</v>
      </c>
    </row>
    <row r="32" spans="2:18" x14ac:dyDescent="0.35">
      <c r="B32">
        <v>108</v>
      </c>
      <c r="C32" t="s">
        <v>113</v>
      </c>
      <c r="D32" t="s">
        <v>114</v>
      </c>
      <c r="E32" t="s">
        <v>115</v>
      </c>
      <c r="F32" t="s">
        <v>24</v>
      </c>
      <c r="G32" s="1">
        <v>6781953</v>
      </c>
      <c r="H32" s="1">
        <v>6979175</v>
      </c>
      <c r="I32" s="1">
        <v>7309253</v>
      </c>
      <c r="J32" s="1">
        <v>7592273</v>
      </c>
      <c r="K32" s="1">
        <v>8097691</v>
      </c>
      <c r="L32" s="1">
        <v>8767778</v>
      </c>
      <c r="M32" s="1">
        <v>8980606</v>
      </c>
      <c r="N32" s="1">
        <v>8582950</v>
      </c>
      <c r="O32" s="2">
        <v>110879</v>
      </c>
      <c r="P32" s="3">
        <v>61.165399999999998</v>
      </c>
      <c r="Q32" s="3">
        <v>0.9849</v>
      </c>
      <c r="R32">
        <v>0.09</v>
      </c>
    </row>
    <row r="33" spans="2:18" x14ac:dyDescent="0.35">
      <c r="B33">
        <v>58</v>
      </c>
      <c r="C33" t="s">
        <v>116</v>
      </c>
      <c r="D33" t="s">
        <v>117</v>
      </c>
      <c r="E33" t="s">
        <v>118</v>
      </c>
      <c r="F33" t="s">
        <v>28</v>
      </c>
      <c r="G33" s="1">
        <v>22673762</v>
      </c>
      <c r="H33" s="1">
        <v>21522626</v>
      </c>
      <c r="I33" s="1">
        <v>18718019</v>
      </c>
      <c r="J33" s="1">
        <v>16116845</v>
      </c>
      <c r="K33" s="1">
        <v>11882888</v>
      </c>
      <c r="L33" s="1">
        <v>9131361</v>
      </c>
      <c r="M33" s="1">
        <v>6932967</v>
      </c>
      <c r="N33" s="1">
        <v>5611666</v>
      </c>
      <c r="O33" s="2">
        <v>272967</v>
      </c>
      <c r="P33" s="3">
        <v>83.064099999999996</v>
      </c>
      <c r="Q33" s="3">
        <v>1.0259</v>
      </c>
      <c r="R33">
        <v>0.28000000000000003</v>
      </c>
    </row>
    <row r="34" spans="2:18" x14ac:dyDescent="0.35">
      <c r="B34">
        <v>78</v>
      </c>
      <c r="C34" t="s">
        <v>119</v>
      </c>
      <c r="D34" t="s">
        <v>120</v>
      </c>
      <c r="E34" t="s">
        <v>121</v>
      </c>
      <c r="F34" t="s">
        <v>28</v>
      </c>
      <c r="G34" s="1">
        <v>12889576</v>
      </c>
      <c r="H34" s="1">
        <v>12220227</v>
      </c>
      <c r="I34" s="1">
        <v>10727148</v>
      </c>
      <c r="J34" s="1">
        <v>9126605</v>
      </c>
      <c r="K34" s="1">
        <v>6307659</v>
      </c>
      <c r="L34" s="1">
        <v>5483793</v>
      </c>
      <c r="M34" s="1">
        <v>4312834</v>
      </c>
      <c r="N34" s="1">
        <v>3497834</v>
      </c>
      <c r="O34" s="2">
        <v>27834</v>
      </c>
      <c r="P34" s="3">
        <v>463.0874</v>
      </c>
      <c r="Q34" s="3">
        <v>1.0269999999999999</v>
      </c>
      <c r="R34">
        <v>0.16</v>
      </c>
    </row>
    <row r="35" spans="2:18" x14ac:dyDescent="0.35">
      <c r="B35">
        <v>73</v>
      </c>
      <c r="C35" t="s">
        <v>122</v>
      </c>
      <c r="D35" t="s">
        <v>123</v>
      </c>
      <c r="E35" t="s">
        <v>124</v>
      </c>
      <c r="F35" t="s">
        <v>20</v>
      </c>
      <c r="G35" s="1">
        <v>16767842</v>
      </c>
      <c r="H35" s="1">
        <v>16396860</v>
      </c>
      <c r="I35" s="1">
        <v>15417523</v>
      </c>
      <c r="J35" s="1">
        <v>14363532</v>
      </c>
      <c r="K35" s="1">
        <v>12118841</v>
      </c>
      <c r="L35" s="1">
        <v>8910808</v>
      </c>
      <c r="M35" s="1">
        <v>6198959</v>
      </c>
      <c r="N35" s="1">
        <v>6708525</v>
      </c>
      <c r="O35" s="2">
        <v>181035</v>
      </c>
      <c r="P35" s="3">
        <v>92.622100000000003</v>
      </c>
      <c r="Q35" s="3">
        <v>1.0107999999999999</v>
      </c>
      <c r="R35">
        <v>0.21</v>
      </c>
    </row>
    <row r="36" spans="2:18" x14ac:dyDescent="0.35">
      <c r="B36">
        <v>53</v>
      </c>
      <c r="C36" t="s">
        <v>125</v>
      </c>
      <c r="D36" t="s">
        <v>126</v>
      </c>
      <c r="E36" t="s">
        <v>127</v>
      </c>
      <c r="F36" t="s">
        <v>28</v>
      </c>
      <c r="G36" s="1">
        <v>27914536</v>
      </c>
      <c r="H36" s="1">
        <v>26491087</v>
      </c>
      <c r="I36" s="1">
        <v>23012646</v>
      </c>
      <c r="J36" s="1">
        <v>19878036</v>
      </c>
      <c r="K36" s="1">
        <v>15091594</v>
      </c>
      <c r="L36" s="1">
        <v>11430520</v>
      </c>
      <c r="M36" s="1">
        <v>8519891</v>
      </c>
      <c r="N36" s="1">
        <v>6452787</v>
      </c>
      <c r="O36" s="2">
        <v>475442</v>
      </c>
      <c r="P36" s="3">
        <v>58.712800000000001</v>
      </c>
      <c r="Q36" s="3">
        <v>1.0263</v>
      </c>
      <c r="R36">
        <v>0.35</v>
      </c>
    </row>
    <row r="37" spans="2:18" x14ac:dyDescent="0.35">
      <c r="B37">
        <v>39</v>
      </c>
      <c r="C37" t="s">
        <v>128</v>
      </c>
      <c r="D37" t="s">
        <v>129</v>
      </c>
      <c r="E37" t="s">
        <v>130</v>
      </c>
      <c r="F37" t="s">
        <v>42</v>
      </c>
      <c r="G37" s="1">
        <v>38454327</v>
      </c>
      <c r="H37" s="1">
        <v>37888705</v>
      </c>
      <c r="I37" s="1">
        <v>35732126</v>
      </c>
      <c r="J37" s="1">
        <v>33963412</v>
      </c>
      <c r="K37" s="1">
        <v>30683313</v>
      </c>
      <c r="L37" s="1">
        <v>27657204</v>
      </c>
      <c r="M37" s="1">
        <v>24511510</v>
      </c>
      <c r="N37" s="1">
        <v>21434577</v>
      </c>
      <c r="O37" s="2">
        <v>9984670</v>
      </c>
      <c r="P37" s="3">
        <v>3.8513000000000002</v>
      </c>
      <c r="Q37" s="3">
        <v>1.0078</v>
      </c>
      <c r="R37">
        <v>0.48</v>
      </c>
    </row>
    <row r="38" spans="2:18" x14ac:dyDescent="0.35">
      <c r="B38">
        <v>171</v>
      </c>
      <c r="C38" t="s">
        <v>131</v>
      </c>
      <c r="D38" t="s">
        <v>132</v>
      </c>
      <c r="E38" t="s">
        <v>133</v>
      </c>
      <c r="F38" t="s">
        <v>28</v>
      </c>
      <c r="G38" s="1">
        <v>593149</v>
      </c>
      <c r="H38" s="1">
        <v>582640</v>
      </c>
      <c r="I38" s="1">
        <v>552166</v>
      </c>
      <c r="J38" s="1">
        <v>521212</v>
      </c>
      <c r="K38" s="1">
        <v>458251</v>
      </c>
      <c r="L38" s="1">
        <v>364563</v>
      </c>
      <c r="M38" s="1">
        <v>317234</v>
      </c>
      <c r="N38" s="1">
        <v>287262</v>
      </c>
      <c r="O38" s="2">
        <v>4033</v>
      </c>
      <c r="P38" s="3">
        <v>147.07390000000001</v>
      </c>
      <c r="Q38" s="3">
        <v>1.0088999999999999</v>
      </c>
      <c r="R38">
        <v>0.01</v>
      </c>
    </row>
    <row r="39" spans="2:18" x14ac:dyDescent="0.35">
      <c r="B39">
        <v>205</v>
      </c>
      <c r="C39" t="s">
        <v>134</v>
      </c>
      <c r="D39" t="s">
        <v>135</v>
      </c>
      <c r="E39" t="s">
        <v>136</v>
      </c>
      <c r="F39" t="s">
        <v>42</v>
      </c>
      <c r="G39" s="1">
        <v>68706</v>
      </c>
      <c r="H39" s="1">
        <v>67311</v>
      </c>
      <c r="I39" s="1">
        <v>60911</v>
      </c>
      <c r="J39" s="1">
        <v>54074</v>
      </c>
      <c r="K39" s="1">
        <v>39658</v>
      </c>
      <c r="L39" s="1">
        <v>26027</v>
      </c>
      <c r="M39" s="1">
        <v>17100</v>
      </c>
      <c r="N39" s="1">
        <v>10533</v>
      </c>
      <c r="O39" s="2">
        <v>264</v>
      </c>
      <c r="P39" s="3">
        <v>260.25</v>
      </c>
      <c r="Q39" s="3">
        <v>1.0084</v>
      </c>
      <c r="R39">
        <v>0</v>
      </c>
    </row>
    <row r="40" spans="2:18" x14ac:dyDescent="0.35">
      <c r="B40">
        <v>117</v>
      </c>
      <c r="C40" t="s">
        <v>137</v>
      </c>
      <c r="D40" t="s">
        <v>138</v>
      </c>
      <c r="E40" t="s">
        <v>139</v>
      </c>
      <c r="F40" t="s">
        <v>28</v>
      </c>
      <c r="G40" s="1">
        <v>5579144</v>
      </c>
      <c r="H40" s="1">
        <v>5343020</v>
      </c>
      <c r="I40" s="1">
        <v>4819333</v>
      </c>
      <c r="J40" s="1">
        <v>4660067</v>
      </c>
      <c r="K40" s="1">
        <v>3759170</v>
      </c>
      <c r="L40" s="1">
        <v>2809221</v>
      </c>
      <c r="M40" s="1">
        <v>2415276</v>
      </c>
      <c r="N40" s="1">
        <v>2067356</v>
      </c>
      <c r="O40" s="2">
        <v>622984</v>
      </c>
      <c r="P40" s="3">
        <v>8.9555000000000007</v>
      </c>
      <c r="Q40" s="3">
        <v>1.0224</v>
      </c>
      <c r="R40">
        <v>7.0000000000000007E-2</v>
      </c>
    </row>
    <row r="41" spans="2:18" x14ac:dyDescent="0.35">
      <c r="B41">
        <v>69</v>
      </c>
      <c r="C41" t="s">
        <v>140</v>
      </c>
      <c r="D41" t="s">
        <v>141</v>
      </c>
      <c r="E41" t="s">
        <v>142</v>
      </c>
      <c r="F41" t="s">
        <v>28</v>
      </c>
      <c r="G41" s="1">
        <v>17723315</v>
      </c>
      <c r="H41" s="1">
        <v>16644701</v>
      </c>
      <c r="I41" s="1">
        <v>14140274</v>
      </c>
      <c r="J41" s="1">
        <v>11894727</v>
      </c>
      <c r="K41" s="1">
        <v>8259137</v>
      </c>
      <c r="L41" s="1">
        <v>5827069</v>
      </c>
      <c r="M41" s="1">
        <v>4408230</v>
      </c>
      <c r="N41" s="1">
        <v>3667394</v>
      </c>
      <c r="O41" s="2">
        <v>1284000</v>
      </c>
      <c r="P41" s="3">
        <v>13.8032</v>
      </c>
      <c r="Q41" s="3">
        <v>1.0316000000000001</v>
      </c>
      <c r="R41">
        <v>0.22</v>
      </c>
    </row>
    <row r="42" spans="2:18" x14ac:dyDescent="0.35">
      <c r="B42">
        <v>65</v>
      </c>
      <c r="C42" t="s">
        <v>143</v>
      </c>
      <c r="D42" t="s">
        <v>144</v>
      </c>
      <c r="E42" t="s">
        <v>145</v>
      </c>
      <c r="F42" t="s">
        <v>49</v>
      </c>
      <c r="G42" s="1">
        <v>19603733</v>
      </c>
      <c r="H42" s="1">
        <v>19300315</v>
      </c>
      <c r="I42" s="1">
        <v>17870124</v>
      </c>
      <c r="J42" s="1">
        <v>17004162</v>
      </c>
      <c r="K42" s="1">
        <v>15351799</v>
      </c>
      <c r="L42" s="1">
        <v>13342868</v>
      </c>
      <c r="M42" s="1">
        <v>11469828</v>
      </c>
      <c r="N42" s="1">
        <v>9820481</v>
      </c>
      <c r="O42" s="2">
        <v>756102</v>
      </c>
      <c r="P42" s="3">
        <v>25.927399999999999</v>
      </c>
      <c r="Q42" s="3">
        <v>1.0057</v>
      </c>
      <c r="R42">
        <v>0.25</v>
      </c>
    </row>
    <row r="43" spans="2:18" x14ac:dyDescent="0.35">
      <c r="B43">
        <v>1</v>
      </c>
      <c r="C43" t="s">
        <v>146</v>
      </c>
      <c r="D43" t="s">
        <v>147</v>
      </c>
      <c r="E43" t="s">
        <v>148</v>
      </c>
      <c r="F43" t="s">
        <v>20</v>
      </c>
      <c r="G43" s="1">
        <v>1425887337</v>
      </c>
      <c r="H43" s="1">
        <v>1424929781</v>
      </c>
      <c r="I43" s="1">
        <v>1393715448</v>
      </c>
      <c r="J43" s="1">
        <v>1348191368</v>
      </c>
      <c r="K43" s="1">
        <v>1264099069</v>
      </c>
      <c r="L43" s="1">
        <v>1153704252</v>
      </c>
      <c r="M43" s="1">
        <v>982372466</v>
      </c>
      <c r="N43" s="1">
        <v>822534450</v>
      </c>
      <c r="O43" s="2">
        <v>9706961</v>
      </c>
      <c r="P43" s="3">
        <v>146.89330000000001</v>
      </c>
      <c r="Q43" s="3">
        <v>1</v>
      </c>
      <c r="R43">
        <v>17.88</v>
      </c>
    </row>
    <row r="44" spans="2:18" x14ac:dyDescent="0.35">
      <c r="B44">
        <v>28</v>
      </c>
      <c r="C44" t="s">
        <v>149</v>
      </c>
      <c r="D44" t="s">
        <v>150</v>
      </c>
      <c r="E44" t="s">
        <v>151</v>
      </c>
      <c r="F44" t="s">
        <v>49</v>
      </c>
      <c r="G44" s="1">
        <v>51874024</v>
      </c>
      <c r="H44" s="1">
        <v>50930662</v>
      </c>
      <c r="I44" s="1">
        <v>47119728</v>
      </c>
      <c r="J44" s="1">
        <v>44816108</v>
      </c>
      <c r="K44" s="1">
        <v>39215135</v>
      </c>
      <c r="L44" s="1">
        <v>32601393</v>
      </c>
      <c r="M44" s="1">
        <v>26176195</v>
      </c>
      <c r="N44" s="1">
        <v>20905254</v>
      </c>
      <c r="O44" s="2">
        <v>1141748</v>
      </c>
      <c r="P44" s="3">
        <v>45.433900000000001</v>
      </c>
      <c r="Q44" s="3">
        <v>1.0068999999999999</v>
      </c>
      <c r="R44">
        <v>0.65</v>
      </c>
    </row>
    <row r="45" spans="2:18" x14ac:dyDescent="0.35">
      <c r="B45">
        <v>163</v>
      </c>
      <c r="C45" t="s">
        <v>152</v>
      </c>
      <c r="D45" t="s">
        <v>153</v>
      </c>
      <c r="E45" t="s">
        <v>154</v>
      </c>
      <c r="F45" t="s">
        <v>28</v>
      </c>
      <c r="G45" s="1">
        <v>836774</v>
      </c>
      <c r="H45" s="1">
        <v>806166</v>
      </c>
      <c r="I45" s="1">
        <v>730216</v>
      </c>
      <c r="J45" s="1">
        <v>656024</v>
      </c>
      <c r="K45" s="1">
        <v>536758</v>
      </c>
      <c r="L45" s="1">
        <v>431119</v>
      </c>
      <c r="M45" s="1">
        <v>328328</v>
      </c>
      <c r="N45" s="1">
        <v>242351</v>
      </c>
      <c r="O45" s="2">
        <v>1862</v>
      </c>
      <c r="P45" s="3">
        <v>449.39530000000002</v>
      </c>
      <c r="Q45" s="3">
        <v>1.0184</v>
      </c>
      <c r="R45">
        <v>0.01</v>
      </c>
    </row>
    <row r="46" spans="2:18" x14ac:dyDescent="0.35">
      <c r="B46">
        <v>223</v>
      </c>
      <c r="C46" t="s">
        <v>155</v>
      </c>
      <c r="D46" t="s">
        <v>156</v>
      </c>
      <c r="E46" t="s">
        <v>157</v>
      </c>
      <c r="F46" t="s">
        <v>32</v>
      </c>
      <c r="G46" s="1">
        <v>17011</v>
      </c>
      <c r="H46" s="1">
        <v>17029</v>
      </c>
      <c r="I46" s="1">
        <v>17695</v>
      </c>
      <c r="J46" s="1">
        <v>17212</v>
      </c>
      <c r="K46" s="1">
        <v>15897</v>
      </c>
      <c r="L46" s="1">
        <v>17123</v>
      </c>
      <c r="M46" s="1">
        <v>17651</v>
      </c>
      <c r="N46" s="1">
        <v>20470</v>
      </c>
      <c r="O46" s="2">
        <v>236</v>
      </c>
      <c r="P46" s="3">
        <v>72.080500000000001</v>
      </c>
      <c r="Q46" s="3">
        <v>1.0004999999999999</v>
      </c>
      <c r="R46">
        <v>0</v>
      </c>
    </row>
    <row r="47" spans="2:18" x14ac:dyDescent="0.35">
      <c r="B47">
        <v>124</v>
      </c>
      <c r="C47" t="s">
        <v>158</v>
      </c>
      <c r="D47" t="s">
        <v>159</v>
      </c>
      <c r="E47" t="s">
        <v>160</v>
      </c>
      <c r="F47" t="s">
        <v>42</v>
      </c>
      <c r="G47" s="1">
        <v>5180829</v>
      </c>
      <c r="H47" s="1">
        <v>5123105</v>
      </c>
      <c r="I47" s="1">
        <v>4895242</v>
      </c>
      <c r="J47" s="1">
        <v>4622252</v>
      </c>
      <c r="K47" s="1">
        <v>3979193</v>
      </c>
      <c r="L47" s="1">
        <v>3158253</v>
      </c>
      <c r="M47" s="1">
        <v>2414303</v>
      </c>
      <c r="N47" s="1">
        <v>1855697</v>
      </c>
      <c r="O47" s="2">
        <v>51100</v>
      </c>
      <c r="P47" s="3">
        <v>101.3861</v>
      </c>
      <c r="Q47" s="3">
        <v>1.0052000000000001</v>
      </c>
      <c r="R47">
        <v>0.06</v>
      </c>
    </row>
    <row r="48" spans="2:18" x14ac:dyDescent="0.35">
      <c r="B48">
        <v>130</v>
      </c>
      <c r="C48" t="s">
        <v>161</v>
      </c>
      <c r="D48" t="s">
        <v>162</v>
      </c>
      <c r="E48" t="s">
        <v>163</v>
      </c>
      <c r="F48" t="s">
        <v>24</v>
      </c>
      <c r="G48" s="1">
        <v>4030358</v>
      </c>
      <c r="H48" s="1">
        <v>4096868</v>
      </c>
      <c r="I48" s="1">
        <v>4254815</v>
      </c>
      <c r="J48" s="1">
        <v>4368682</v>
      </c>
      <c r="K48" s="1">
        <v>4548434</v>
      </c>
      <c r="L48" s="1">
        <v>4873707</v>
      </c>
      <c r="M48" s="1">
        <v>4680144</v>
      </c>
      <c r="N48" s="1">
        <v>4492638</v>
      </c>
      <c r="O48" s="2">
        <v>56594</v>
      </c>
      <c r="P48" s="3">
        <v>71.215299999999999</v>
      </c>
      <c r="Q48" s="3">
        <v>0.99270000000000003</v>
      </c>
      <c r="R48">
        <v>0.05</v>
      </c>
    </row>
    <row r="49" spans="2:18" x14ac:dyDescent="0.35">
      <c r="B49">
        <v>85</v>
      </c>
      <c r="C49" t="s">
        <v>164</v>
      </c>
      <c r="D49" t="s">
        <v>165</v>
      </c>
      <c r="E49" t="s">
        <v>166</v>
      </c>
      <c r="F49" t="s">
        <v>42</v>
      </c>
      <c r="G49" s="1">
        <v>11212191</v>
      </c>
      <c r="H49" s="1">
        <v>11300698</v>
      </c>
      <c r="I49" s="1">
        <v>11339894</v>
      </c>
      <c r="J49" s="1">
        <v>11290417</v>
      </c>
      <c r="K49" s="1">
        <v>11105791</v>
      </c>
      <c r="L49" s="1">
        <v>10626680</v>
      </c>
      <c r="M49" s="1">
        <v>9809107</v>
      </c>
      <c r="N49" s="1">
        <v>8869636</v>
      </c>
      <c r="O49" s="2">
        <v>109884</v>
      </c>
      <c r="P49" s="3">
        <v>102.03660000000001</v>
      </c>
      <c r="Q49" s="3">
        <v>0.99609999999999999</v>
      </c>
      <c r="R49">
        <v>0.14000000000000001</v>
      </c>
    </row>
    <row r="50" spans="2:18" x14ac:dyDescent="0.35">
      <c r="B50">
        <v>189</v>
      </c>
      <c r="C50" t="s">
        <v>167</v>
      </c>
      <c r="D50" t="s">
        <v>168</v>
      </c>
      <c r="E50" t="s">
        <v>169</v>
      </c>
      <c r="F50" t="s">
        <v>42</v>
      </c>
      <c r="G50" s="1">
        <v>191163</v>
      </c>
      <c r="H50" s="1">
        <v>189288</v>
      </c>
      <c r="I50" s="1">
        <v>169572</v>
      </c>
      <c r="J50" s="1">
        <v>159380</v>
      </c>
      <c r="K50" s="1">
        <v>141424</v>
      </c>
      <c r="L50" s="1">
        <v>155446</v>
      </c>
      <c r="M50" s="1">
        <v>156851</v>
      </c>
      <c r="N50" s="1">
        <v>150385</v>
      </c>
      <c r="O50" s="2">
        <v>444</v>
      </c>
      <c r="P50" s="3">
        <v>430.54730000000001</v>
      </c>
      <c r="Q50" s="3">
        <v>1.0043</v>
      </c>
      <c r="R50">
        <v>0</v>
      </c>
    </row>
    <row r="51" spans="2:18" x14ac:dyDescent="0.35">
      <c r="B51">
        <v>158</v>
      </c>
      <c r="C51" t="s">
        <v>170</v>
      </c>
      <c r="D51" t="s">
        <v>171</v>
      </c>
      <c r="E51" t="s">
        <v>172</v>
      </c>
      <c r="F51" t="s">
        <v>24</v>
      </c>
      <c r="G51" s="1">
        <v>1251488</v>
      </c>
      <c r="H51" s="1">
        <v>1237537</v>
      </c>
      <c r="I51" s="1">
        <v>1187280</v>
      </c>
      <c r="J51" s="1">
        <v>1129686</v>
      </c>
      <c r="K51" s="1">
        <v>948237</v>
      </c>
      <c r="L51" s="1">
        <v>788500</v>
      </c>
      <c r="M51" s="1">
        <v>679327</v>
      </c>
      <c r="N51" s="1">
        <v>640804</v>
      </c>
      <c r="O51" s="2">
        <v>9251</v>
      </c>
      <c r="P51" s="3">
        <v>135.28139999999999</v>
      </c>
      <c r="Q51" s="3">
        <v>1.0059</v>
      </c>
      <c r="R51">
        <v>0.02</v>
      </c>
    </row>
    <row r="52" spans="2:18" x14ac:dyDescent="0.35">
      <c r="B52">
        <v>88</v>
      </c>
      <c r="C52" t="s">
        <v>173</v>
      </c>
      <c r="D52" t="s">
        <v>174</v>
      </c>
      <c r="E52" t="s">
        <v>175</v>
      </c>
      <c r="F52" t="s">
        <v>24</v>
      </c>
      <c r="G52" s="1">
        <v>10493986</v>
      </c>
      <c r="H52" s="1">
        <v>10530953</v>
      </c>
      <c r="I52" s="1">
        <v>10523798</v>
      </c>
      <c r="J52" s="1">
        <v>10464749</v>
      </c>
      <c r="K52" s="1">
        <v>10234710</v>
      </c>
      <c r="L52" s="1">
        <v>10301192</v>
      </c>
      <c r="M52" s="1">
        <v>10270060</v>
      </c>
      <c r="N52" s="1">
        <v>9795744</v>
      </c>
      <c r="O52" s="2">
        <v>78865</v>
      </c>
      <c r="P52" s="3">
        <v>133.06270000000001</v>
      </c>
      <c r="Q52" s="3">
        <v>0.99839999999999995</v>
      </c>
      <c r="R52">
        <v>0.13</v>
      </c>
    </row>
    <row r="53" spans="2:18" x14ac:dyDescent="0.35">
      <c r="B53">
        <v>115</v>
      </c>
      <c r="C53" t="s">
        <v>176</v>
      </c>
      <c r="D53" t="s">
        <v>177</v>
      </c>
      <c r="E53" t="s">
        <v>178</v>
      </c>
      <c r="F53" t="s">
        <v>24</v>
      </c>
      <c r="G53" s="1">
        <v>5882261</v>
      </c>
      <c r="H53" s="1">
        <v>5825641</v>
      </c>
      <c r="I53" s="1">
        <v>5677796</v>
      </c>
      <c r="J53" s="1">
        <v>5550849</v>
      </c>
      <c r="K53" s="1">
        <v>5340655</v>
      </c>
      <c r="L53" s="1">
        <v>5144623</v>
      </c>
      <c r="M53" s="1">
        <v>5125392</v>
      </c>
      <c r="N53" s="1">
        <v>4922963</v>
      </c>
      <c r="O53" s="2">
        <v>43094</v>
      </c>
      <c r="P53" s="3">
        <v>136.4984</v>
      </c>
      <c r="Q53" s="3">
        <v>1.0047999999999999</v>
      </c>
      <c r="R53">
        <v>7.0000000000000007E-2</v>
      </c>
    </row>
    <row r="54" spans="2:18" x14ac:dyDescent="0.35">
      <c r="B54">
        <v>160</v>
      </c>
      <c r="C54" t="s">
        <v>179</v>
      </c>
      <c r="D54" t="s">
        <v>180</v>
      </c>
      <c r="E54" t="s">
        <v>180</v>
      </c>
      <c r="F54" t="s">
        <v>28</v>
      </c>
      <c r="G54" s="1">
        <v>1120849</v>
      </c>
      <c r="H54" s="1">
        <v>1090156</v>
      </c>
      <c r="I54" s="1">
        <v>1006259</v>
      </c>
      <c r="J54" s="1">
        <v>919199</v>
      </c>
      <c r="K54" s="1">
        <v>742033</v>
      </c>
      <c r="L54" s="1">
        <v>577173</v>
      </c>
      <c r="M54" s="1">
        <v>324121</v>
      </c>
      <c r="N54" s="1">
        <v>144379</v>
      </c>
      <c r="O54" s="2">
        <v>23200</v>
      </c>
      <c r="P54" s="3">
        <v>48.3125</v>
      </c>
      <c r="Q54" s="3">
        <v>1.0138</v>
      </c>
      <c r="R54">
        <v>0.01</v>
      </c>
    </row>
    <row r="55" spans="2:18" x14ac:dyDescent="0.35">
      <c r="B55">
        <v>204</v>
      </c>
      <c r="C55" t="s">
        <v>181</v>
      </c>
      <c r="D55" t="s">
        <v>182</v>
      </c>
      <c r="E55" t="s">
        <v>183</v>
      </c>
      <c r="F55" t="s">
        <v>42</v>
      </c>
      <c r="G55" s="1">
        <v>72737</v>
      </c>
      <c r="H55" s="1">
        <v>71995</v>
      </c>
      <c r="I55" s="1">
        <v>70007</v>
      </c>
      <c r="J55" s="1">
        <v>68755</v>
      </c>
      <c r="K55" s="1">
        <v>68346</v>
      </c>
      <c r="L55" s="1">
        <v>69481</v>
      </c>
      <c r="M55" s="1">
        <v>72978</v>
      </c>
      <c r="N55" s="1">
        <v>68895</v>
      </c>
      <c r="O55" s="2">
        <v>751</v>
      </c>
      <c r="P55" s="3">
        <v>96.853499999999997</v>
      </c>
      <c r="Q55" s="3">
        <v>1.0044999999999999</v>
      </c>
      <c r="R55">
        <v>0</v>
      </c>
    </row>
    <row r="56" spans="2:18" x14ac:dyDescent="0.35">
      <c r="B56">
        <v>84</v>
      </c>
      <c r="C56" t="s">
        <v>184</v>
      </c>
      <c r="D56" t="s">
        <v>185</v>
      </c>
      <c r="E56" t="s">
        <v>186</v>
      </c>
      <c r="F56" t="s">
        <v>42</v>
      </c>
      <c r="G56" s="1">
        <v>11228821</v>
      </c>
      <c r="H56" s="1">
        <v>10999664</v>
      </c>
      <c r="I56" s="1">
        <v>10405832</v>
      </c>
      <c r="J56" s="1">
        <v>9775755</v>
      </c>
      <c r="K56" s="1">
        <v>8540791</v>
      </c>
      <c r="L56" s="1">
        <v>7129004</v>
      </c>
      <c r="M56" s="1">
        <v>5755800</v>
      </c>
      <c r="N56" s="1">
        <v>4475871</v>
      </c>
      <c r="O56" s="2">
        <v>48671</v>
      </c>
      <c r="P56" s="3">
        <v>230.70869999999999</v>
      </c>
      <c r="Q56" s="3">
        <v>1.01</v>
      </c>
      <c r="R56">
        <v>0.14000000000000001</v>
      </c>
    </row>
    <row r="57" spans="2:18" x14ac:dyDescent="0.35">
      <c r="B57">
        <v>15</v>
      </c>
      <c r="C57" t="s">
        <v>187</v>
      </c>
      <c r="D57" t="s">
        <v>188</v>
      </c>
      <c r="E57" t="s">
        <v>189</v>
      </c>
      <c r="F57" t="s">
        <v>28</v>
      </c>
      <c r="G57" s="1">
        <v>99010212</v>
      </c>
      <c r="H57" s="1">
        <v>92853164</v>
      </c>
      <c r="I57" s="1">
        <v>78656904</v>
      </c>
      <c r="J57" s="1">
        <v>66391257</v>
      </c>
      <c r="K57" s="1">
        <v>48616317</v>
      </c>
      <c r="L57" s="1">
        <v>35987541</v>
      </c>
      <c r="M57" s="1">
        <v>26708686</v>
      </c>
      <c r="N57" s="1">
        <v>20151733</v>
      </c>
      <c r="O57" s="2">
        <v>2344858</v>
      </c>
      <c r="P57" s="3">
        <v>42.224400000000003</v>
      </c>
      <c r="Q57" s="3">
        <v>1.0325</v>
      </c>
      <c r="R57">
        <v>1.24</v>
      </c>
    </row>
    <row r="58" spans="2:18" x14ac:dyDescent="0.35">
      <c r="B58">
        <v>67</v>
      </c>
      <c r="C58" t="s">
        <v>190</v>
      </c>
      <c r="D58" t="s">
        <v>191</v>
      </c>
      <c r="E58" t="s">
        <v>192</v>
      </c>
      <c r="F58" t="s">
        <v>49</v>
      </c>
      <c r="G58" s="1">
        <v>18001000</v>
      </c>
      <c r="H58" s="1">
        <v>17588595</v>
      </c>
      <c r="I58" s="1">
        <v>16195902</v>
      </c>
      <c r="J58" s="1">
        <v>14989585</v>
      </c>
      <c r="K58" s="1">
        <v>12626507</v>
      </c>
      <c r="L58" s="1">
        <v>10449837</v>
      </c>
      <c r="M58" s="1">
        <v>8135845</v>
      </c>
      <c r="N58" s="1">
        <v>6172215</v>
      </c>
      <c r="O58" s="2">
        <v>276841</v>
      </c>
      <c r="P58" s="3">
        <v>65.022900000000007</v>
      </c>
      <c r="Q58" s="3">
        <v>1.0114000000000001</v>
      </c>
      <c r="R58">
        <v>0.23</v>
      </c>
    </row>
    <row r="59" spans="2:18" x14ac:dyDescent="0.35">
      <c r="B59">
        <v>14</v>
      </c>
      <c r="C59" t="s">
        <v>193</v>
      </c>
      <c r="D59" t="s">
        <v>194</v>
      </c>
      <c r="E59" t="s">
        <v>195</v>
      </c>
      <c r="F59" t="s">
        <v>28</v>
      </c>
      <c r="G59" s="1">
        <v>110990103</v>
      </c>
      <c r="H59" s="1">
        <v>107465134</v>
      </c>
      <c r="I59" s="1">
        <v>97723799</v>
      </c>
      <c r="J59" s="1">
        <v>87252413</v>
      </c>
      <c r="K59" s="1">
        <v>71371371</v>
      </c>
      <c r="L59" s="1">
        <v>57214630</v>
      </c>
      <c r="M59" s="1">
        <v>43748556</v>
      </c>
      <c r="N59" s="1">
        <v>34781986</v>
      </c>
      <c r="O59" s="2">
        <v>1002450</v>
      </c>
      <c r="P59" s="3">
        <v>110.7188</v>
      </c>
      <c r="Q59" s="3">
        <v>1.0158</v>
      </c>
      <c r="R59">
        <v>1.39</v>
      </c>
    </row>
    <row r="60" spans="2:18" x14ac:dyDescent="0.35">
      <c r="B60">
        <v>112</v>
      </c>
      <c r="C60" t="s">
        <v>196</v>
      </c>
      <c r="D60" t="s">
        <v>197</v>
      </c>
      <c r="E60" t="s">
        <v>198</v>
      </c>
      <c r="F60" t="s">
        <v>42</v>
      </c>
      <c r="G60" s="1">
        <v>6336392</v>
      </c>
      <c r="H60" s="1">
        <v>6292731</v>
      </c>
      <c r="I60" s="1">
        <v>6231066</v>
      </c>
      <c r="J60" s="1">
        <v>6114034</v>
      </c>
      <c r="K60" s="1">
        <v>5958482</v>
      </c>
      <c r="L60" s="1">
        <v>5367179</v>
      </c>
      <c r="M60" s="1">
        <v>4508992</v>
      </c>
      <c r="N60" s="1">
        <v>3619090</v>
      </c>
      <c r="O60" s="2">
        <v>21041</v>
      </c>
      <c r="P60" s="3">
        <v>301.14499999999998</v>
      </c>
      <c r="Q60" s="3">
        <v>1.0035000000000001</v>
      </c>
      <c r="R60">
        <v>0.08</v>
      </c>
    </row>
    <row r="61" spans="2:18" x14ac:dyDescent="0.35">
      <c r="B61">
        <v>152</v>
      </c>
      <c r="C61" t="s">
        <v>199</v>
      </c>
      <c r="D61" t="s">
        <v>200</v>
      </c>
      <c r="E61" t="s">
        <v>201</v>
      </c>
      <c r="F61" t="s">
        <v>28</v>
      </c>
      <c r="G61" s="1">
        <v>1674908</v>
      </c>
      <c r="H61" s="1">
        <v>1596049</v>
      </c>
      <c r="I61" s="1">
        <v>1346973</v>
      </c>
      <c r="J61" s="1">
        <v>1094524</v>
      </c>
      <c r="K61" s="1">
        <v>684977</v>
      </c>
      <c r="L61" s="1">
        <v>465549</v>
      </c>
      <c r="M61" s="1">
        <v>282509</v>
      </c>
      <c r="N61" s="1">
        <v>316955</v>
      </c>
      <c r="O61" s="2">
        <v>28051</v>
      </c>
      <c r="P61" s="3">
        <v>59.709400000000002</v>
      </c>
      <c r="Q61" s="3">
        <v>1.0246999999999999</v>
      </c>
      <c r="R61">
        <v>0.02</v>
      </c>
    </row>
    <row r="62" spans="2:18" x14ac:dyDescent="0.35">
      <c r="B62">
        <v>132</v>
      </c>
      <c r="C62" t="s">
        <v>202</v>
      </c>
      <c r="D62" t="s">
        <v>203</v>
      </c>
      <c r="E62" t="s">
        <v>204</v>
      </c>
      <c r="F62" t="s">
        <v>28</v>
      </c>
      <c r="G62" s="1">
        <v>3684032</v>
      </c>
      <c r="H62" s="1">
        <v>3555868</v>
      </c>
      <c r="I62" s="1">
        <v>3340006</v>
      </c>
      <c r="J62" s="1">
        <v>3147727</v>
      </c>
      <c r="K62" s="1">
        <v>2392880</v>
      </c>
      <c r="L62" s="1">
        <v>2149960</v>
      </c>
      <c r="M62" s="1">
        <v>1657982</v>
      </c>
      <c r="N62" s="1">
        <v>1272748</v>
      </c>
      <c r="O62" s="2">
        <v>117600</v>
      </c>
      <c r="P62" s="3">
        <v>31.326799999999999</v>
      </c>
      <c r="Q62" s="3">
        <v>1.0176000000000001</v>
      </c>
      <c r="R62">
        <v>0.05</v>
      </c>
    </row>
    <row r="63" spans="2:18" x14ac:dyDescent="0.35">
      <c r="B63">
        <v>156</v>
      </c>
      <c r="C63" t="s">
        <v>205</v>
      </c>
      <c r="D63" t="s">
        <v>206</v>
      </c>
      <c r="E63" t="s">
        <v>207</v>
      </c>
      <c r="F63" t="s">
        <v>24</v>
      </c>
      <c r="G63" s="1">
        <v>1326062</v>
      </c>
      <c r="H63" s="1">
        <v>1329444</v>
      </c>
      <c r="I63" s="1">
        <v>1314657</v>
      </c>
      <c r="J63" s="1">
        <v>1331535</v>
      </c>
      <c r="K63" s="1">
        <v>1396877</v>
      </c>
      <c r="L63" s="1">
        <v>1570674</v>
      </c>
      <c r="M63" s="1">
        <v>1476983</v>
      </c>
      <c r="N63" s="1">
        <v>1361999</v>
      </c>
      <c r="O63" s="2">
        <v>45227</v>
      </c>
      <c r="P63" s="3">
        <v>29.3201</v>
      </c>
      <c r="Q63" s="3">
        <v>0.998</v>
      </c>
      <c r="R63">
        <v>0.02</v>
      </c>
    </row>
    <row r="64" spans="2:18" x14ac:dyDescent="0.35">
      <c r="B64">
        <v>159</v>
      </c>
      <c r="C64" t="s">
        <v>208</v>
      </c>
      <c r="D64" t="s">
        <v>209</v>
      </c>
      <c r="E64" t="s">
        <v>210</v>
      </c>
      <c r="F64" t="s">
        <v>28</v>
      </c>
      <c r="G64" s="1">
        <v>1201670</v>
      </c>
      <c r="H64" s="1">
        <v>1180655</v>
      </c>
      <c r="I64" s="1">
        <v>1133936</v>
      </c>
      <c r="J64" s="1">
        <v>1099920</v>
      </c>
      <c r="K64" s="1">
        <v>1030496</v>
      </c>
      <c r="L64" s="1">
        <v>854011</v>
      </c>
      <c r="M64" s="1">
        <v>598564</v>
      </c>
      <c r="N64" s="1">
        <v>442865</v>
      </c>
      <c r="O64" s="2">
        <v>17364</v>
      </c>
      <c r="P64" s="3">
        <v>69.204700000000003</v>
      </c>
      <c r="Q64" s="3">
        <v>1.0079</v>
      </c>
      <c r="R64">
        <v>0.02</v>
      </c>
    </row>
    <row r="65" spans="2:18" x14ac:dyDescent="0.35">
      <c r="B65">
        <v>12</v>
      </c>
      <c r="C65" t="s">
        <v>211</v>
      </c>
      <c r="D65" t="s">
        <v>212</v>
      </c>
      <c r="E65" t="s">
        <v>213</v>
      </c>
      <c r="F65" t="s">
        <v>28</v>
      </c>
      <c r="G65" s="1">
        <v>123379924</v>
      </c>
      <c r="H65" s="1">
        <v>117190911</v>
      </c>
      <c r="I65" s="1">
        <v>102471895</v>
      </c>
      <c r="J65" s="1">
        <v>89237791</v>
      </c>
      <c r="K65" s="1">
        <v>67031867</v>
      </c>
      <c r="L65" s="1">
        <v>47878073</v>
      </c>
      <c r="M65" s="1">
        <v>34945469</v>
      </c>
      <c r="N65" s="1">
        <v>28308246</v>
      </c>
      <c r="O65" s="2">
        <v>1104300</v>
      </c>
      <c r="P65" s="3">
        <v>111.7268</v>
      </c>
      <c r="Q65" s="3">
        <v>1.0257000000000001</v>
      </c>
      <c r="R65">
        <v>1.55</v>
      </c>
    </row>
    <row r="66" spans="2:18" x14ac:dyDescent="0.35">
      <c r="B66">
        <v>231</v>
      </c>
      <c r="C66" t="s">
        <v>214</v>
      </c>
      <c r="D66" t="s">
        <v>215</v>
      </c>
      <c r="E66" t="s">
        <v>216</v>
      </c>
      <c r="F66" t="s">
        <v>49</v>
      </c>
      <c r="G66" s="1">
        <v>3780</v>
      </c>
      <c r="H66" s="1">
        <v>3747</v>
      </c>
      <c r="I66" s="1">
        <v>3408</v>
      </c>
      <c r="J66" s="1">
        <v>3187</v>
      </c>
      <c r="K66" s="1">
        <v>3080</v>
      </c>
      <c r="L66" s="1">
        <v>2332</v>
      </c>
      <c r="M66" s="1">
        <v>2240</v>
      </c>
      <c r="N66" s="1">
        <v>2274</v>
      </c>
      <c r="O66" s="2">
        <v>12173</v>
      </c>
      <c r="P66" s="3">
        <v>0.3105</v>
      </c>
      <c r="Q66" s="3">
        <v>1.0043</v>
      </c>
      <c r="R66">
        <v>0</v>
      </c>
    </row>
    <row r="67" spans="2:18" x14ac:dyDescent="0.35">
      <c r="B67">
        <v>209</v>
      </c>
      <c r="C67" t="s">
        <v>217</v>
      </c>
      <c r="D67" t="s">
        <v>218</v>
      </c>
      <c r="E67" t="s">
        <v>219</v>
      </c>
      <c r="F67" t="s">
        <v>24</v>
      </c>
      <c r="G67" s="1">
        <v>53090</v>
      </c>
      <c r="H67" s="1">
        <v>52415</v>
      </c>
      <c r="I67" s="1">
        <v>48816</v>
      </c>
      <c r="J67" s="1">
        <v>48410</v>
      </c>
      <c r="K67" s="1">
        <v>45660</v>
      </c>
      <c r="L67" s="1">
        <v>47479</v>
      </c>
      <c r="M67" s="1">
        <v>43054</v>
      </c>
      <c r="N67" s="1">
        <v>38416</v>
      </c>
      <c r="O67" s="2">
        <v>1393</v>
      </c>
      <c r="P67" s="3">
        <v>38.112000000000002</v>
      </c>
      <c r="Q67" s="3">
        <v>1.0038</v>
      </c>
      <c r="R67">
        <v>0</v>
      </c>
    </row>
    <row r="68" spans="2:18" x14ac:dyDescent="0.35">
      <c r="B68">
        <v>162</v>
      </c>
      <c r="C68" t="s">
        <v>220</v>
      </c>
      <c r="D68" t="s">
        <v>221</v>
      </c>
      <c r="E68" t="s">
        <v>222</v>
      </c>
      <c r="F68" t="s">
        <v>32</v>
      </c>
      <c r="G68" s="1">
        <v>929766</v>
      </c>
      <c r="H68" s="1">
        <v>920422</v>
      </c>
      <c r="I68" s="1">
        <v>917200</v>
      </c>
      <c r="J68" s="1">
        <v>905169</v>
      </c>
      <c r="K68" s="1">
        <v>832509</v>
      </c>
      <c r="L68" s="1">
        <v>780430</v>
      </c>
      <c r="M68" s="1">
        <v>644582</v>
      </c>
      <c r="N68" s="1">
        <v>527634</v>
      </c>
      <c r="O68" s="2">
        <v>18272</v>
      </c>
      <c r="P68" s="3">
        <v>50.884700000000002</v>
      </c>
      <c r="Q68" s="3">
        <v>1.0056</v>
      </c>
      <c r="R68">
        <v>0.01</v>
      </c>
    </row>
    <row r="69" spans="2:18" x14ac:dyDescent="0.35">
      <c r="B69">
        <v>118</v>
      </c>
      <c r="C69" t="s">
        <v>223</v>
      </c>
      <c r="D69" t="s">
        <v>224</v>
      </c>
      <c r="E69" t="s">
        <v>225</v>
      </c>
      <c r="F69" t="s">
        <v>24</v>
      </c>
      <c r="G69" s="1">
        <v>5540745</v>
      </c>
      <c r="H69" s="1">
        <v>5529468</v>
      </c>
      <c r="I69" s="1">
        <v>5479461</v>
      </c>
      <c r="J69" s="1">
        <v>5363271</v>
      </c>
      <c r="K69" s="1">
        <v>5176209</v>
      </c>
      <c r="L69" s="1">
        <v>4986545</v>
      </c>
      <c r="M69" s="1">
        <v>4779418</v>
      </c>
      <c r="N69" s="1">
        <v>4606621</v>
      </c>
      <c r="O69" s="2">
        <v>338424</v>
      </c>
      <c r="P69" s="3">
        <v>16.372199999999999</v>
      </c>
      <c r="Q69" s="3">
        <v>1.0008999999999999</v>
      </c>
      <c r="R69">
        <v>7.0000000000000007E-2</v>
      </c>
    </row>
    <row r="70" spans="2:18" x14ac:dyDescent="0.35">
      <c r="B70">
        <v>23</v>
      </c>
      <c r="C70" t="s">
        <v>226</v>
      </c>
      <c r="D70" t="s">
        <v>227</v>
      </c>
      <c r="E70" t="s">
        <v>228</v>
      </c>
      <c r="F70" t="s">
        <v>24</v>
      </c>
      <c r="G70" s="1">
        <v>64626628</v>
      </c>
      <c r="H70" s="1">
        <v>64480053</v>
      </c>
      <c r="I70" s="1">
        <v>63809769</v>
      </c>
      <c r="J70" s="1">
        <v>62444567</v>
      </c>
      <c r="K70" s="1">
        <v>58665453</v>
      </c>
      <c r="L70" s="1">
        <v>56412897</v>
      </c>
      <c r="M70" s="1">
        <v>53713830</v>
      </c>
      <c r="N70" s="1">
        <v>50523586</v>
      </c>
      <c r="O70" s="2">
        <v>551695</v>
      </c>
      <c r="P70" s="3">
        <v>117.14190000000001</v>
      </c>
      <c r="Q70" s="3">
        <v>1.0015000000000001</v>
      </c>
      <c r="R70">
        <v>0.81</v>
      </c>
    </row>
    <row r="71" spans="2:18" x14ac:dyDescent="0.35">
      <c r="B71">
        <v>184</v>
      </c>
      <c r="C71" t="s">
        <v>229</v>
      </c>
      <c r="D71" t="s">
        <v>230</v>
      </c>
      <c r="E71" t="s">
        <v>231</v>
      </c>
      <c r="F71" t="s">
        <v>49</v>
      </c>
      <c r="G71" s="1">
        <v>304557</v>
      </c>
      <c r="H71" s="1">
        <v>290969</v>
      </c>
      <c r="I71" s="1">
        <v>257026</v>
      </c>
      <c r="J71" s="1">
        <v>228453</v>
      </c>
      <c r="K71" s="1">
        <v>164351</v>
      </c>
      <c r="L71" s="1">
        <v>113931</v>
      </c>
      <c r="M71" s="1">
        <v>66825</v>
      </c>
      <c r="N71" s="1">
        <v>46484</v>
      </c>
      <c r="O71" s="2">
        <v>83534</v>
      </c>
      <c r="P71" s="3">
        <v>3.6459000000000001</v>
      </c>
      <c r="Q71" s="3">
        <v>1.0239</v>
      </c>
      <c r="R71">
        <v>0</v>
      </c>
    </row>
    <row r="72" spans="2:18" x14ac:dyDescent="0.35">
      <c r="B72">
        <v>183</v>
      </c>
      <c r="C72" t="s">
        <v>232</v>
      </c>
      <c r="D72" t="s">
        <v>233</v>
      </c>
      <c r="E72" t="s">
        <v>234</v>
      </c>
      <c r="F72" t="s">
        <v>32</v>
      </c>
      <c r="G72" s="1">
        <v>306279</v>
      </c>
      <c r="H72" s="1">
        <v>301920</v>
      </c>
      <c r="I72" s="1">
        <v>291787</v>
      </c>
      <c r="J72" s="1">
        <v>283788</v>
      </c>
      <c r="K72" s="1">
        <v>250927</v>
      </c>
      <c r="L72" s="1">
        <v>211089</v>
      </c>
      <c r="M72" s="1">
        <v>163591</v>
      </c>
      <c r="N72" s="1">
        <v>117891</v>
      </c>
      <c r="O72" s="2">
        <v>4167</v>
      </c>
      <c r="P72" s="3">
        <v>73.501099999999994</v>
      </c>
      <c r="Q72" s="3">
        <v>1.0074000000000001</v>
      </c>
      <c r="R72">
        <v>0</v>
      </c>
    </row>
    <row r="73" spans="2:18" x14ac:dyDescent="0.35">
      <c r="B73">
        <v>146</v>
      </c>
      <c r="C73" t="s">
        <v>235</v>
      </c>
      <c r="D73" t="s">
        <v>236</v>
      </c>
      <c r="E73" t="s">
        <v>237</v>
      </c>
      <c r="F73" t="s">
        <v>28</v>
      </c>
      <c r="G73" s="1">
        <v>2388992</v>
      </c>
      <c r="H73" s="1">
        <v>2292573</v>
      </c>
      <c r="I73" s="1">
        <v>2028517</v>
      </c>
      <c r="J73" s="1">
        <v>1711105</v>
      </c>
      <c r="K73" s="1">
        <v>1272935</v>
      </c>
      <c r="L73" s="1">
        <v>983028</v>
      </c>
      <c r="M73" s="1">
        <v>749078</v>
      </c>
      <c r="N73" s="1">
        <v>597192</v>
      </c>
      <c r="O73" s="2">
        <v>267668</v>
      </c>
      <c r="P73" s="3">
        <v>8.9252000000000002</v>
      </c>
      <c r="Q73" s="3">
        <v>1.0204</v>
      </c>
      <c r="R73">
        <v>0.03</v>
      </c>
    </row>
    <row r="74" spans="2:18" x14ac:dyDescent="0.35">
      <c r="B74">
        <v>142</v>
      </c>
      <c r="C74" t="s">
        <v>238</v>
      </c>
      <c r="D74" t="s">
        <v>239</v>
      </c>
      <c r="E74" t="s">
        <v>240</v>
      </c>
      <c r="F74" t="s">
        <v>28</v>
      </c>
      <c r="G74" s="1">
        <v>2705992</v>
      </c>
      <c r="H74" s="1">
        <v>2573995</v>
      </c>
      <c r="I74" s="1">
        <v>2253133</v>
      </c>
      <c r="J74" s="1">
        <v>1937275</v>
      </c>
      <c r="K74" s="1">
        <v>1437539</v>
      </c>
      <c r="L74" s="1">
        <v>1040616</v>
      </c>
      <c r="M74" s="1">
        <v>718586</v>
      </c>
      <c r="N74" s="1">
        <v>528731</v>
      </c>
      <c r="O74" s="2">
        <v>10689</v>
      </c>
      <c r="P74" s="3">
        <v>253.1567</v>
      </c>
      <c r="Q74" s="3">
        <v>1.0249999999999999</v>
      </c>
      <c r="R74">
        <v>0.03</v>
      </c>
    </row>
    <row r="75" spans="2:18" x14ac:dyDescent="0.35">
      <c r="B75">
        <v>131</v>
      </c>
      <c r="C75" t="s">
        <v>241</v>
      </c>
      <c r="D75" t="s">
        <v>242</v>
      </c>
      <c r="E75" t="s">
        <v>243</v>
      </c>
      <c r="F75" t="s">
        <v>20</v>
      </c>
      <c r="G75" s="1">
        <v>3744385</v>
      </c>
      <c r="H75" s="1">
        <v>3765912</v>
      </c>
      <c r="I75" s="1">
        <v>3771132</v>
      </c>
      <c r="J75" s="1">
        <v>3836831</v>
      </c>
      <c r="K75" s="1">
        <v>4265172</v>
      </c>
      <c r="L75" s="1">
        <v>5391636</v>
      </c>
      <c r="M75" s="1">
        <v>5145843</v>
      </c>
      <c r="N75" s="1">
        <v>4800426</v>
      </c>
      <c r="O75" s="2">
        <v>69700</v>
      </c>
      <c r="P75" s="3">
        <v>53.721400000000003</v>
      </c>
      <c r="Q75" s="3">
        <v>0.99639999999999995</v>
      </c>
      <c r="R75">
        <v>0.05</v>
      </c>
    </row>
    <row r="76" spans="2:18" x14ac:dyDescent="0.35">
      <c r="B76">
        <v>19</v>
      </c>
      <c r="C76" t="s">
        <v>244</v>
      </c>
      <c r="D76" t="s">
        <v>245</v>
      </c>
      <c r="E76" t="s">
        <v>246</v>
      </c>
      <c r="F76" t="s">
        <v>24</v>
      </c>
      <c r="G76" s="1">
        <v>83369843</v>
      </c>
      <c r="H76" s="1">
        <v>83328988</v>
      </c>
      <c r="I76" s="1">
        <v>82073226</v>
      </c>
      <c r="J76" s="1">
        <v>81325090</v>
      </c>
      <c r="K76" s="1">
        <v>81551677</v>
      </c>
      <c r="L76" s="1">
        <v>79370196</v>
      </c>
      <c r="M76" s="1">
        <v>77786703</v>
      </c>
      <c r="N76" s="1">
        <v>78294583</v>
      </c>
      <c r="O76" s="2">
        <v>357114</v>
      </c>
      <c r="P76" s="3">
        <v>233.45439999999999</v>
      </c>
      <c r="Q76" s="3">
        <v>0.99950000000000006</v>
      </c>
      <c r="R76">
        <v>1.05</v>
      </c>
    </row>
    <row r="77" spans="2:18" x14ac:dyDescent="0.35">
      <c r="B77">
        <v>47</v>
      </c>
      <c r="C77" t="s">
        <v>247</v>
      </c>
      <c r="D77" t="s">
        <v>248</v>
      </c>
      <c r="E77" t="s">
        <v>249</v>
      </c>
      <c r="F77" t="s">
        <v>28</v>
      </c>
      <c r="G77" s="1">
        <v>33475870</v>
      </c>
      <c r="H77" s="1">
        <v>32180401</v>
      </c>
      <c r="I77" s="1">
        <v>28870939</v>
      </c>
      <c r="J77" s="1">
        <v>25574719</v>
      </c>
      <c r="K77" s="1">
        <v>19665502</v>
      </c>
      <c r="L77" s="1">
        <v>15446982</v>
      </c>
      <c r="M77" s="1">
        <v>11865246</v>
      </c>
      <c r="N77" s="1">
        <v>8861895</v>
      </c>
      <c r="O77" s="2">
        <v>238533</v>
      </c>
      <c r="P77" s="3">
        <v>140.34059999999999</v>
      </c>
      <c r="Q77" s="3">
        <v>1.0196000000000001</v>
      </c>
      <c r="R77">
        <v>0.42</v>
      </c>
    </row>
    <row r="78" spans="2:18" x14ac:dyDescent="0.35">
      <c r="B78">
        <v>219</v>
      </c>
      <c r="C78" t="s">
        <v>250</v>
      </c>
      <c r="D78" t="s">
        <v>251</v>
      </c>
      <c r="E78" t="s">
        <v>251</v>
      </c>
      <c r="F78" t="s">
        <v>24</v>
      </c>
      <c r="G78" s="1">
        <v>32649</v>
      </c>
      <c r="H78" s="1">
        <v>32709</v>
      </c>
      <c r="I78" s="1">
        <v>32520</v>
      </c>
      <c r="J78" s="1">
        <v>31262</v>
      </c>
      <c r="K78" s="1">
        <v>27741</v>
      </c>
      <c r="L78" s="1">
        <v>27317</v>
      </c>
      <c r="M78" s="1">
        <v>28734</v>
      </c>
      <c r="N78" s="1">
        <v>26685</v>
      </c>
      <c r="O78" s="2">
        <v>6</v>
      </c>
      <c r="P78" s="3">
        <v>5441.5</v>
      </c>
      <c r="Q78" s="3">
        <v>0.99939999999999996</v>
      </c>
      <c r="R78">
        <v>0</v>
      </c>
    </row>
    <row r="79" spans="2:18" x14ac:dyDescent="0.35">
      <c r="B79">
        <v>90</v>
      </c>
      <c r="C79" t="s">
        <v>252</v>
      </c>
      <c r="D79" t="s">
        <v>253</v>
      </c>
      <c r="E79" t="s">
        <v>254</v>
      </c>
      <c r="F79" t="s">
        <v>24</v>
      </c>
      <c r="G79" s="1">
        <v>10384971</v>
      </c>
      <c r="H79" s="1">
        <v>10512232</v>
      </c>
      <c r="I79" s="1">
        <v>10806641</v>
      </c>
      <c r="J79" s="1">
        <v>11033783</v>
      </c>
      <c r="K79" s="1">
        <v>11038109</v>
      </c>
      <c r="L79" s="1">
        <v>10302255</v>
      </c>
      <c r="M79" s="1">
        <v>9307148</v>
      </c>
      <c r="N79" s="1">
        <v>8544873</v>
      </c>
      <c r="O79" s="2">
        <v>131990</v>
      </c>
      <c r="P79" s="3">
        <v>78.680000000000007</v>
      </c>
      <c r="Q79" s="3">
        <v>0.99419999999999997</v>
      </c>
      <c r="R79">
        <v>0.13</v>
      </c>
    </row>
    <row r="80" spans="2:18" x14ac:dyDescent="0.35">
      <c r="B80">
        <v>208</v>
      </c>
      <c r="C80" t="s">
        <v>255</v>
      </c>
      <c r="D80" t="s">
        <v>256</v>
      </c>
      <c r="E80" t="s">
        <v>257</v>
      </c>
      <c r="F80" t="s">
        <v>42</v>
      </c>
      <c r="G80" s="1">
        <v>56466</v>
      </c>
      <c r="H80" s="1">
        <v>56026</v>
      </c>
      <c r="I80" s="1">
        <v>55895</v>
      </c>
      <c r="J80" s="1">
        <v>56351</v>
      </c>
      <c r="K80" s="1">
        <v>56184</v>
      </c>
      <c r="L80" s="1">
        <v>55599</v>
      </c>
      <c r="M80" s="1">
        <v>50106</v>
      </c>
      <c r="N80" s="1">
        <v>45434</v>
      </c>
      <c r="O80" s="2">
        <v>2166086</v>
      </c>
      <c r="P80" s="3">
        <v>2.6100000000000002E-2</v>
      </c>
      <c r="Q80" s="3">
        <v>1.004</v>
      </c>
      <c r="R80">
        <v>0</v>
      </c>
    </row>
    <row r="81" spans="2:18" x14ac:dyDescent="0.35">
      <c r="B81">
        <v>193</v>
      </c>
      <c r="C81" t="s">
        <v>258</v>
      </c>
      <c r="D81" t="s">
        <v>259</v>
      </c>
      <c r="E81" t="s">
        <v>260</v>
      </c>
      <c r="F81" t="s">
        <v>42</v>
      </c>
      <c r="G81" s="1">
        <v>125438</v>
      </c>
      <c r="H81" s="1">
        <v>123663</v>
      </c>
      <c r="I81" s="1">
        <v>118980</v>
      </c>
      <c r="J81" s="1">
        <v>114039</v>
      </c>
      <c r="K81" s="1">
        <v>107432</v>
      </c>
      <c r="L81" s="1">
        <v>99047</v>
      </c>
      <c r="M81" s="1">
        <v>94838</v>
      </c>
      <c r="N81" s="1">
        <v>98794</v>
      </c>
      <c r="O81" s="2">
        <v>344</v>
      </c>
      <c r="P81" s="3">
        <v>364.64530000000002</v>
      </c>
      <c r="Q81" s="3">
        <v>1.0065999999999999</v>
      </c>
      <c r="R81">
        <v>0</v>
      </c>
    </row>
    <row r="82" spans="2:18" x14ac:dyDescent="0.35">
      <c r="B82">
        <v>178</v>
      </c>
      <c r="C82" t="s">
        <v>261</v>
      </c>
      <c r="D82" t="s">
        <v>262</v>
      </c>
      <c r="E82" t="s">
        <v>263</v>
      </c>
      <c r="F82" t="s">
        <v>42</v>
      </c>
      <c r="G82" s="1">
        <v>395752</v>
      </c>
      <c r="H82" s="1">
        <v>395642</v>
      </c>
      <c r="I82" s="1">
        <v>399089</v>
      </c>
      <c r="J82" s="1">
        <v>403072</v>
      </c>
      <c r="K82" s="1">
        <v>424067</v>
      </c>
      <c r="L82" s="1">
        <v>391951</v>
      </c>
      <c r="M82" s="1">
        <v>334234</v>
      </c>
      <c r="N82" s="1">
        <v>318310</v>
      </c>
      <c r="O82" s="2">
        <v>1628</v>
      </c>
      <c r="P82" s="3">
        <v>243.0909</v>
      </c>
      <c r="Q82" s="3">
        <v>0.99919999999999998</v>
      </c>
      <c r="R82">
        <v>0</v>
      </c>
    </row>
    <row r="83" spans="2:18" x14ac:dyDescent="0.35">
      <c r="B83">
        <v>191</v>
      </c>
      <c r="C83" t="s">
        <v>264</v>
      </c>
      <c r="D83" t="s">
        <v>265</v>
      </c>
      <c r="E83" t="s">
        <v>266</v>
      </c>
      <c r="F83" t="s">
        <v>32</v>
      </c>
      <c r="G83" s="1">
        <v>171774</v>
      </c>
      <c r="H83" s="1">
        <v>169231</v>
      </c>
      <c r="I83" s="1">
        <v>167978</v>
      </c>
      <c r="J83" s="1">
        <v>164905</v>
      </c>
      <c r="K83" s="1">
        <v>160188</v>
      </c>
      <c r="L83" s="1">
        <v>138263</v>
      </c>
      <c r="M83" s="1">
        <v>110286</v>
      </c>
      <c r="N83" s="1">
        <v>88300</v>
      </c>
      <c r="O83" s="2">
        <v>549</v>
      </c>
      <c r="P83" s="3">
        <v>312.8852</v>
      </c>
      <c r="Q83" s="3">
        <v>1.0073000000000001</v>
      </c>
      <c r="R83">
        <v>0</v>
      </c>
    </row>
    <row r="84" spans="2:18" x14ac:dyDescent="0.35">
      <c r="B84">
        <v>68</v>
      </c>
      <c r="C84" t="s">
        <v>267</v>
      </c>
      <c r="D84" t="s">
        <v>268</v>
      </c>
      <c r="E84" t="s">
        <v>269</v>
      </c>
      <c r="F84" t="s">
        <v>42</v>
      </c>
      <c r="G84" s="1">
        <v>17843908</v>
      </c>
      <c r="H84" s="1">
        <v>17362718</v>
      </c>
      <c r="I84" s="1">
        <v>16001107</v>
      </c>
      <c r="J84" s="1">
        <v>14543121</v>
      </c>
      <c r="K84" s="1">
        <v>11735894</v>
      </c>
      <c r="L84" s="1">
        <v>9084780</v>
      </c>
      <c r="M84" s="1">
        <v>6987767</v>
      </c>
      <c r="N84" s="1">
        <v>5453208</v>
      </c>
      <c r="O84" s="2">
        <v>108889</v>
      </c>
      <c r="P84" s="3">
        <v>163.8725</v>
      </c>
      <c r="Q84" s="3">
        <v>1.0134000000000001</v>
      </c>
      <c r="R84">
        <v>0.22</v>
      </c>
    </row>
    <row r="85" spans="2:18" x14ac:dyDescent="0.35">
      <c r="B85">
        <v>207</v>
      </c>
      <c r="C85" t="s">
        <v>270</v>
      </c>
      <c r="D85" t="s">
        <v>271</v>
      </c>
      <c r="E85" t="s">
        <v>272</v>
      </c>
      <c r="F85" t="s">
        <v>24</v>
      </c>
      <c r="G85" s="1">
        <v>63301</v>
      </c>
      <c r="H85" s="1">
        <v>62794</v>
      </c>
      <c r="I85" s="1">
        <v>61629</v>
      </c>
      <c r="J85" s="1">
        <v>60782</v>
      </c>
      <c r="K85" s="1">
        <v>59114</v>
      </c>
      <c r="L85" s="1">
        <v>57727</v>
      </c>
      <c r="M85" s="1">
        <v>52860</v>
      </c>
      <c r="N85" s="1">
        <v>52656</v>
      </c>
      <c r="O85" s="2">
        <v>78</v>
      </c>
      <c r="P85" s="3">
        <v>811.55129999999997</v>
      </c>
      <c r="Q85" s="3">
        <v>1.0037</v>
      </c>
      <c r="R85">
        <v>0</v>
      </c>
    </row>
    <row r="86" spans="2:18" x14ac:dyDescent="0.35">
      <c r="B86">
        <v>75</v>
      </c>
      <c r="C86" t="s">
        <v>273</v>
      </c>
      <c r="D86" t="s">
        <v>274</v>
      </c>
      <c r="E86" t="s">
        <v>275</v>
      </c>
      <c r="F86" t="s">
        <v>28</v>
      </c>
      <c r="G86" s="1">
        <v>13859341</v>
      </c>
      <c r="H86" s="1">
        <v>13205153</v>
      </c>
      <c r="I86" s="1">
        <v>11625998</v>
      </c>
      <c r="J86" s="1">
        <v>10270728</v>
      </c>
      <c r="K86" s="1">
        <v>8336967</v>
      </c>
      <c r="L86" s="1">
        <v>6354145</v>
      </c>
      <c r="M86" s="1">
        <v>4972609</v>
      </c>
      <c r="N86" s="1">
        <v>4222374</v>
      </c>
      <c r="O86" s="2">
        <v>245857</v>
      </c>
      <c r="P86" s="3">
        <v>56.371600000000001</v>
      </c>
      <c r="Q86" s="3">
        <v>1.0242</v>
      </c>
      <c r="R86">
        <v>0.17</v>
      </c>
    </row>
    <row r="87" spans="2:18" x14ac:dyDescent="0.35">
      <c r="B87">
        <v>149</v>
      </c>
      <c r="C87" t="s">
        <v>276</v>
      </c>
      <c r="D87" t="s">
        <v>277</v>
      </c>
      <c r="E87" t="s">
        <v>278</v>
      </c>
      <c r="F87" t="s">
        <v>28</v>
      </c>
      <c r="G87" s="1">
        <v>2105566</v>
      </c>
      <c r="H87" s="1">
        <v>2015828</v>
      </c>
      <c r="I87" s="1">
        <v>1788919</v>
      </c>
      <c r="J87" s="1">
        <v>1567220</v>
      </c>
      <c r="K87" s="1">
        <v>1230849</v>
      </c>
      <c r="L87" s="1">
        <v>973551</v>
      </c>
      <c r="M87" s="1">
        <v>831462</v>
      </c>
      <c r="N87" s="1">
        <v>591663</v>
      </c>
      <c r="O87" s="2">
        <v>36125</v>
      </c>
      <c r="P87" s="3">
        <v>58.285600000000002</v>
      </c>
      <c r="Q87" s="3">
        <v>1.0218</v>
      </c>
      <c r="R87">
        <v>0.03</v>
      </c>
    </row>
    <row r="88" spans="2:18" x14ac:dyDescent="0.35">
      <c r="B88">
        <v>164</v>
      </c>
      <c r="C88" t="s">
        <v>279</v>
      </c>
      <c r="D88" t="s">
        <v>280</v>
      </c>
      <c r="E88" t="s">
        <v>281</v>
      </c>
      <c r="F88" t="s">
        <v>49</v>
      </c>
      <c r="G88" s="1">
        <v>808726</v>
      </c>
      <c r="H88" s="1">
        <v>797202</v>
      </c>
      <c r="I88" s="1">
        <v>755031</v>
      </c>
      <c r="J88" s="1">
        <v>747932</v>
      </c>
      <c r="K88" s="1">
        <v>759051</v>
      </c>
      <c r="L88" s="1">
        <v>747116</v>
      </c>
      <c r="M88" s="1">
        <v>778176</v>
      </c>
      <c r="N88" s="1">
        <v>705261</v>
      </c>
      <c r="O88" s="2">
        <v>214969</v>
      </c>
      <c r="P88" s="3">
        <v>3.7621000000000002</v>
      </c>
      <c r="Q88" s="3">
        <v>1.0052000000000001</v>
      </c>
      <c r="R88">
        <v>0.01</v>
      </c>
    </row>
    <row r="89" spans="2:18" x14ac:dyDescent="0.35">
      <c r="B89">
        <v>82</v>
      </c>
      <c r="C89" t="s">
        <v>282</v>
      </c>
      <c r="D89" t="s">
        <v>283</v>
      </c>
      <c r="E89" t="s">
        <v>284</v>
      </c>
      <c r="F89" t="s">
        <v>42</v>
      </c>
      <c r="G89" s="1">
        <v>11584996</v>
      </c>
      <c r="H89" s="1">
        <v>11306801</v>
      </c>
      <c r="I89" s="1">
        <v>10563757</v>
      </c>
      <c r="J89" s="1">
        <v>9842880</v>
      </c>
      <c r="K89" s="1">
        <v>8360225</v>
      </c>
      <c r="L89" s="1">
        <v>6925331</v>
      </c>
      <c r="M89" s="1">
        <v>5646676</v>
      </c>
      <c r="N89" s="1">
        <v>4680812</v>
      </c>
      <c r="O89" s="2">
        <v>27750</v>
      </c>
      <c r="P89" s="3">
        <v>417.47730000000001</v>
      </c>
      <c r="Q89" s="3">
        <v>1.012</v>
      </c>
      <c r="R89">
        <v>0.15</v>
      </c>
    </row>
    <row r="90" spans="2:18" x14ac:dyDescent="0.35">
      <c r="B90">
        <v>89</v>
      </c>
      <c r="C90" t="s">
        <v>285</v>
      </c>
      <c r="D90" t="s">
        <v>286</v>
      </c>
      <c r="E90" t="s">
        <v>287</v>
      </c>
      <c r="F90" t="s">
        <v>42</v>
      </c>
      <c r="G90" s="1">
        <v>10432860</v>
      </c>
      <c r="H90" s="1">
        <v>10121763</v>
      </c>
      <c r="I90" s="1">
        <v>9294505</v>
      </c>
      <c r="J90" s="1">
        <v>8450933</v>
      </c>
      <c r="K90" s="1">
        <v>6656725</v>
      </c>
      <c r="L90" s="1">
        <v>5053234</v>
      </c>
      <c r="M90" s="1">
        <v>3777990</v>
      </c>
      <c r="N90" s="1">
        <v>2782753</v>
      </c>
      <c r="O90" s="2">
        <v>112492</v>
      </c>
      <c r="P90" s="3">
        <v>92.743099999999998</v>
      </c>
      <c r="Q90" s="3">
        <v>1.0149999999999999</v>
      </c>
      <c r="R90">
        <v>0.13</v>
      </c>
    </row>
    <row r="91" spans="2:18" x14ac:dyDescent="0.35">
      <c r="B91">
        <v>104</v>
      </c>
      <c r="C91" t="s">
        <v>288</v>
      </c>
      <c r="D91" t="s">
        <v>289</v>
      </c>
      <c r="E91" t="s">
        <v>289</v>
      </c>
      <c r="F91" t="s">
        <v>20</v>
      </c>
      <c r="G91" s="1">
        <v>7488865</v>
      </c>
      <c r="H91" s="1">
        <v>7500958</v>
      </c>
      <c r="I91" s="1">
        <v>7399838</v>
      </c>
      <c r="J91" s="1">
        <v>7132438</v>
      </c>
      <c r="K91" s="1">
        <v>6731195</v>
      </c>
      <c r="L91" s="1">
        <v>5838574</v>
      </c>
      <c r="M91" s="1">
        <v>4978544</v>
      </c>
      <c r="N91" s="1">
        <v>3955072</v>
      </c>
      <c r="O91" s="2">
        <v>1104</v>
      </c>
      <c r="P91" s="3">
        <v>6783.3922000000002</v>
      </c>
      <c r="Q91" s="3">
        <v>0.99919999999999998</v>
      </c>
      <c r="R91">
        <v>0.09</v>
      </c>
    </row>
    <row r="92" spans="2:18" x14ac:dyDescent="0.35">
      <c r="B92">
        <v>94</v>
      </c>
      <c r="C92" t="s">
        <v>290</v>
      </c>
      <c r="D92" t="s">
        <v>291</v>
      </c>
      <c r="E92" t="s">
        <v>292</v>
      </c>
      <c r="F92" t="s">
        <v>24</v>
      </c>
      <c r="G92" s="1">
        <v>9967308</v>
      </c>
      <c r="H92" s="1">
        <v>9750573</v>
      </c>
      <c r="I92" s="1">
        <v>9844246</v>
      </c>
      <c r="J92" s="1">
        <v>9986825</v>
      </c>
      <c r="K92" s="1">
        <v>10202055</v>
      </c>
      <c r="L92" s="1">
        <v>10375989</v>
      </c>
      <c r="M92" s="1">
        <v>10698679</v>
      </c>
      <c r="N92" s="1">
        <v>10315366</v>
      </c>
      <c r="O92" s="2">
        <v>93028</v>
      </c>
      <c r="P92" s="3">
        <v>107.1431</v>
      </c>
      <c r="Q92" s="3">
        <v>1.0265</v>
      </c>
      <c r="R92">
        <v>0.12</v>
      </c>
    </row>
    <row r="93" spans="2:18" x14ac:dyDescent="0.35">
      <c r="B93">
        <v>179</v>
      </c>
      <c r="C93" t="s">
        <v>293</v>
      </c>
      <c r="D93" t="s">
        <v>294</v>
      </c>
      <c r="E93" t="s">
        <v>295</v>
      </c>
      <c r="F93" t="s">
        <v>24</v>
      </c>
      <c r="G93" s="1">
        <v>372899</v>
      </c>
      <c r="H93" s="1">
        <v>366669</v>
      </c>
      <c r="I93" s="1">
        <v>331060</v>
      </c>
      <c r="J93" s="1">
        <v>318333</v>
      </c>
      <c r="K93" s="1">
        <v>281462</v>
      </c>
      <c r="L93" s="1">
        <v>255019</v>
      </c>
      <c r="M93" s="1">
        <v>228263</v>
      </c>
      <c r="N93" s="1">
        <v>204468</v>
      </c>
      <c r="O93" s="2">
        <v>103000</v>
      </c>
      <c r="P93" s="3">
        <v>3.6204000000000001</v>
      </c>
      <c r="Q93" s="3">
        <v>1.0068999999999999</v>
      </c>
      <c r="R93">
        <v>0</v>
      </c>
    </row>
    <row r="94" spans="2:18" x14ac:dyDescent="0.35">
      <c r="B94">
        <v>2</v>
      </c>
      <c r="C94" t="s">
        <v>296</v>
      </c>
      <c r="D94" t="s">
        <v>297</v>
      </c>
      <c r="E94" t="s">
        <v>298</v>
      </c>
      <c r="F94" t="s">
        <v>20</v>
      </c>
      <c r="G94" s="1">
        <v>1417173173</v>
      </c>
      <c r="H94" s="1">
        <v>1396387127</v>
      </c>
      <c r="I94" s="1">
        <v>1322866505</v>
      </c>
      <c r="J94" s="1">
        <v>1240613620</v>
      </c>
      <c r="K94" s="1">
        <v>1059633675</v>
      </c>
      <c r="L94" s="1">
        <v>870452165</v>
      </c>
      <c r="M94" s="1">
        <v>696828385</v>
      </c>
      <c r="N94" s="1">
        <v>557501301</v>
      </c>
      <c r="O94" s="2">
        <v>3287590</v>
      </c>
      <c r="P94" s="3">
        <v>431.0675</v>
      </c>
      <c r="Q94" s="3">
        <v>1.0067999999999999</v>
      </c>
      <c r="R94">
        <v>17.77</v>
      </c>
    </row>
    <row r="95" spans="2:18" x14ac:dyDescent="0.35">
      <c r="B95">
        <v>4</v>
      </c>
      <c r="C95" t="s">
        <v>299</v>
      </c>
      <c r="D95" t="s">
        <v>300</v>
      </c>
      <c r="E95" t="s">
        <v>301</v>
      </c>
      <c r="F95" t="s">
        <v>20</v>
      </c>
      <c r="G95" s="1">
        <v>275501339</v>
      </c>
      <c r="H95" s="1">
        <v>271857970</v>
      </c>
      <c r="I95" s="1">
        <v>259091970</v>
      </c>
      <c r="J95" s="1">
        <v>244016173</v>
      </c>
      <c r="K95" s="1">
        <v>214072421</v>
      </c>
      <c r="L95" s="1">
        <v>182159874</v>
      </c>
      <c r="M95" s="1">
        <v>148177096</v>
      </c>
      <c r="N95" s="1">
        <v>115228394</v>
      </c>
      <c r="O95" s="2">
        <v>1904569</v>
      </c>
      <c r="P95" s="3">
        <v>144.65289999999999</v>
      </c>
      <c r="Q95" s="3">
        <v>1.0064</v>
      </c>
      <c r="R95">
        <v>3.45</v>
      </c>
    </row>
    <row r="96" spans="2:18" x14ac:dyDescent="0.35">
      <c r="B96">
        <v>17</v>
      </c>
      <c r="C96" t="s">
        <v>302</v>
      </c>
      <c r="D96" t="s">
        <v>303</v>
      </c>
      <c r="E96" t="s">
        <v>304</v>
      </c>
      <c r="F96" t="s">
        <v>20</v>
      </c>
      <c r="G96" s="1">
        <v>88550570</v>
      </c>
      <c r="H96" s="1">
        <v>87290193</v>
      </c>
      <c r="I96" s="1">
        <v>81790841</v>
      </c>
      <c r="J96" s="1">
        <v>75373855</v>
      </c>
      <c r="K96" s="1">
        <v>65544383</v>
      </c>
      <c r="L96" s="1">
        <v>55793629</v>
      </c>
      <c r="M96" s="1">
        <v>38520664</v>
      </c>
      <c r="N96" s="1">
        <v>28449705</v>
      </c>
      <c r="O96" s="2">
        <v>1648195</v>
      </c>
      <c r="P96" s="3">
        <v>53.7258</v>
      </c>
      <c r="Q96" s="3">
        <v>1.0071000000000001</v>
      </c>
      <c r="R96">
        <v>1.1100000000000001</v>
      </c>
    </row>
    <row r="97" spans="2:18" x14ac:dyDescent="0.35">
      <c r="B97">
        <v>35</v>
      </c>
      <c r="C97" t="s">
        <v>305</v>
      </c>
      <c r="D97" t="s">
        <v>306</v>
      </c>
      <c r="E97" t="s">
        <v>307</v>
      </c>
      <c r="F97" t="s">
        <v>20</v>
      </c>
      <c r="G97" s="1">
        <v>44496122</v>
      </c>
      <c r="H97" s="1">
        <v>42556984</v>
      </c>
      <c r="I97" s="1">
        <v>37757813</v>
      </c>
      <c r="J97" s="1">
        <v>31264875</v>
      </c>
      <c r="K97" s="1">
        <v>24628858</v>
      </c>
      <c r="L97" s="1">
        <v>17658381</v>
      </c>
      <c r="M97" s="1">
        <v>13653369</v>
      </c>
      <c r="N97" s="1">
        <v>9811347</v>
      </c>
      <c r="O97" s="2">
        <v>438317</v>
      </c>
      <c r="P97" s="3">
        <v>101.5158</v>
      </c>
      <c r="Q97" s="3">
        <v>1.0221</v>
      </c>
      <c r="R97">
        <v>0.56000000000000005</v>
      </c>
    </row>
    <row r="98" spans="2:18" x14ac:dyDescent="0.35">
      <c r="B98">
        <v>125</v>
      </c>
      <c r="C98" t="s">
        <v>308</v>
      </c>
      <c r="D98" t="s">
        <v>309</v>
      </c>
      <c r="E98" t="s">
        <v>310</v>
      </c>
      <c r="F98" t="s">
        <v>24</v>
      </c>
      <c r="G98" s="1">
        <v>5023109</v>
      </c>
      <c r="H98" s="1">
        <v>4946119</v>
      </c>
      <c r="I98" s="1">
        <v>4665760</v>
      </c>
      <c r="J98" s="1">
        <v>4524585</v>
      </c>
      <c r="K98" s="1">
        <v>3768950</v>
      </c>
      <c r="L98" s="1">
        <v>3485374</v>
      </c>
      <c r="M98" s="1">
        <v>3391387</v>
      </c>
      <c r="N98" s="1">
        <v>2937637</v>
      </c>
      <c r="O98" s="2">
        <v>70273</v>
      </c>
      <c r="P98" s="3">
        <v>71.479900000000001</v>
      </c>
      <c r="Q98" s="3">
        <v>1.0073000000000001</v>
      </c>
      <c r="R98">
        <v>0.06</v>
      </c>
    </row>
    <row r="99" spans="2:18" x14ac:dyDescent="0.35">
      <c r="B99">
        <v>202</v>
      </c>
      <c r="C99" t="s">
        <v>311</v>
      </c>
      <c r="D99" t="s">
        <v>312</v>
      </c>
      <c r="E99" t="s">
        <v>313</v>
      </c>
      <c r="F99" t="s">
        <v>24</v>
      </c>
      <c r="G99" s="1">
        <v>84519</v>
      </c>
      <c r="H99" s="1">
        <v>84046</v>
      </c>
      <c r="I99" s="1">
        <v>83593</v>
      </c>
      <c r="J99" s="1">
        <v>83828</v>
      </c>
      <c r="K99" s="1">
        <v>75562</v>
      </c>
      <c r="L99" s="1">
        <v>68865</v>
      </c>
      <c r="M99" s="1">
        <v>64022</v>
      </c>
      <c r="N99" s="1">
        <v>55298</v>
      </c>
      <c r="O99" s="2">
        <v>572</v>
      </c>
      <c r="P99" s="3">
        <v>147.76050000000001</v>
      </c>
      <c r="Q99" s="3">
        <v>1.0029999999999999</v>
      </c>
      <c r="R99">
        <v>0</v>
      </c>
    </row>
    <row r="100" spans="2:18" x14ac:dyDescent="0.35">
      <c r="B100">
        <v>98</v>
      </c>
      <c r="C100" t="s">
        <v>314</v>
      </c>
      <c r="D100" t="s">
        <v>315</v>
      </c>
      <c r="E100" t="s">
        <v>316</v>
      </c>
      <c r="F100" t="s">
        <v>20</v>
      </c>
      <c r="G100" s="1">
        <v>9038309</v>
      </c>
      <c r="H100" s="1">
        <v>8757489</v>
      </c>
      <c r="I100" s="1">
        <v>8007778</v>
      </c>
      <c r="J100" s="1">
        <v>7328445</v>
      </c>
      <c r="K100" s="1">
        <v>6116958</v>
      </c>
      <c r="L100" s="1">
        <v>4803254</v>
      </c>
      <c r="M100" s="1">
        <v>3744608</v>
      </c>
      <c r="N100" s="1">
        <v>2907307</v>
      </c>
      <c r="O100" s="2">
        <v>20770</v>
      </c>
      <c r="P100" s="3">
        <v>435.1617</v>
      </c>
      <c r="Q100" s="3">
        <v>1.0155000000000001</v>
      </c>
      <c r="R100">
        <v>0.11</v>
      </c>
    </row>
    <row r="101" spans="2:18" x14ac:dyDescent="0.35">
      <c r="B101">
        <v>25</v>
      </c>
      <c r="C101" t="s">
        <v>317</v>
      </c>
      <c r="D101" t="s">
        <v>318</v>
      </c>
      <c r="E101" t="s">
        <v>319</v>
      </c>
      <c r="F101" t="s">
        <v>24</v>
      </c>
      <c r="G101" s="1">
        <v>59037474</v>
      </c>
      <c r="H101" s="1">
        <v>59500579</v>
      </c>
      <c r="I101" s="1">
        <v>60232906</v>
      </c>
      <c r="J101" s="1">
        <v>59822450</v>
      </c>
      <c r="K101" s="1">
        <v>56966397</v>
      </c>
      <c r="L101" s="1">
        <v>56756561</v>
      </c>
      <c r="M101" s="1">
        <v>56329482</v>
      </c>
      <c r="N101" s="1">
        <v>53324036</v>
      </c>
      <c r="O101" s="2">
        <v>301336</v>
      </c>
      <c r="P101" s="3">
        <v>195.91909999999999</v>
      </c>
      <c r="Q101" s="3">
        <v>0.99660000000000004</v>
      </c>
      <c r="R101">
        <v>0.74</v>
      </c>
    </row>
    <row r="102" spans="2:18" x14ac:dyDescent="0.35">
      <c r="B102">
        <v>52</v>
      </c>
      <c r="C102" t="s">
        <v>320</v>
      </c>
      <c r="D102" t="s">
        <v>321</v>
      </c>
      <c r="E102" t="s">
        <v>322</v>
      </c>
      <c r="F102" t="s">
        <v>28</v>
      </c>
      <c r="G102" s="1">
        <v>28160542</v>
      </c>
      <c r="H102" s="1">
        <v>26811790</v>
      </c>
      <c r="I102" s="1">
        <v>23596741</v>
      </c>
      <c r="J102" s="1">
        <v>21120042</v>
      </c>
      <c r="K102" s="1">
        <v>16799670</v>
      </c>
      <c r="L102" s="1">
        <v>11910540</v>
      </c>
      <c r="M102" s="1">
        <v>8303809</v>
      </c>
      <c r="N102" s="1">
        <v>5477086</v>
      </c>
      <c r="O102" s="2">
        <v>322463</v>
      </c>
      <c r="P102" s="3">
        <v>87.329499999999996</v>
      </c>
      <c r="Q102" s="3">
        <v>1.0247999999999999</v>
      </c>
      <c r="R102">
        <v>0.35</v>
      </c>
    </row>
    <row r="103" spans="2:18" x14ac:dyDescent="0.35">
      <c r="B103">
        <v>139</v>
      </c>
      <c r="C103" t="s">
        <v>323</v>
      </c>
      <c r="D103" t="s">
        <v>324</v>
      </c>
      <c r="E103" t="s">
        <v>325</v>
      </c>
      <c r="F103" t="s">
        <v>42</v>
      </c>
      <c r="G103" s="1">
        <v>2827377</v>
      </c>
      <c r="H103" s="1">
        <v>2820436</v>
      </c>
      <c r="I103" s="1">
        <v>2794445</v>
      </c>
      <c r="J103" s="1">
        <v>2733896</v>
      </c>
      <c r="K103" s="1">
        <v>2612205</v>
      </c>
      <c r="L103" s="1">
        <v>2392030</v>
      </c>
      <c r="M103" s="1">
        <v>2135546</v>
      </c>
      <c r="N103" s="1">
        <v>1859091</v>
      </c>
      <c r="O103" s="2">
        <v>10991</v>
      </c>
      <c r="P103" s="3">
        <v>257.24470000000002</v>
      </c>
      <c r="Q103" s="3">
        <v>0.99990000000000001</v>
      </c>
      <c r="R103">
        <v>0.04</v>
      </c>
    </row>
    <row r="104" spans="2:18" x14ac:dyDescent="0.35">
      <c r="B104">
        <v>11</v>
      </c>
      <c r="C104" t="s">
        <v>326</v>
      </c>
      <c r="D104" t="s">
        <v>327</v>
      </c>
      <c r="E104" t="s">
        <v>328</v>
      </c>
      <c r="F104" t="s">
        <v>20</v>
      </c>
      <c r="G104" s="1">
        <v>123951692</v>
      </c>
      <c r="H104" s="1">
        <v>125244761</v>
      </c>
      <c r="I104" s="1">
        <v>127250933</v>
      </c>
      <c r="J104" s="1">
        <v>128105431</v>
      </c>
      <c r="K104" s="1">
        <v>126803861</v>
      </c>
      <c r="L104" s="1">
        <v>123686321</v>
      </c>
      <c r="M104" s="1">
        <v>117624196</v>
      </c>
      <c r="N104" s="1">
        <v>105416839</v>
      </c>
      <c r="O104" s="2">
        <v>377930</v>
      </c>
      <c r="P104" s="3">
        <v>327.9753</v>
      </c>
      <c r="Q104" s="3">
        <v>0.99470000000000003</v>
      </c>
      <c r="R104">
        <v>1.55</v>
      </c>
    </row>
    <row r="105" spans="2:18" x14ac:dyDescent="0.35">
      <c r="B105">
        <v>195</v>
      </c>
      <c r="C105" t="s">
        <v>329</v>
      </c>
      <c r="D105" t="s">
        <v>330</v>
      </c>
      <c r="E105" t="s">
        <v>331</v>
      </c>
      <c r="F105" t="s">
        <v>24</v>
      </c>
      <c r="G105" s="1">
        <v>110778</v>
      </c>
      <c r="H105" s="1">
        <v>108319</v>
      </c>
      <c r="I105" s="1">
        <v>100561</v>
      </c>
      <c r="J105" s="1">
        <v>96151</v>
      </c>
      <c r="K105" s="1">
        <v>86192</v>
      </c>
      <c r="L105" s="1">
        <v>82874</v>
      </c>
      <c r="M105" s="1">
        <v>75124</v>
      </c>
      <c r="N105" s="1">
        <v>68347</v>
      </c>
      <c r="O105" s="2">
        <v>116</v>
      </c>
      <c r="P105" s="3">
        <v>954.9828</v>
      </c>
      <c r="Q105" s="3">
        <v>1.0105999999999999</v>
      </c>
      <c r="R105">
        <v>0</v>
      </c>
    </row>
    <row r="106" spans="2:18" x14ac:dyDescent="0.35">
      <c r="B106">
        <v>83</v>
      </c>
      <c r="C106" t="s">
        <v>332</v>
      </c>
      <c r="D106" t="s">
        <v>333</v>
      </c>
      <c r="E106" t="s">
        <v>334</v>
      </c>
      <c r="F106" t="s">
        <v>20</v>
      </c>
      <c r="G106" s="1">
        <v>11285869</v>
      </c>
      <c r="H106" s="1">
        <v>10928721</v>
      </c>
      <c r="I106" s="1">
        <v>9494246</v>
      </c>
      <c r="J106" s="1">
        <v>6931258</v>
      </c>
      <c r="K106" s="1">
        <v>5056174</v>
      </c>
      <c r="L106" s="1">
        <v>3480587</v>
      </c>
      <c r="M106" s="1">
        <v>2216903</v>
      </c>
      <c r="N106" s="1">
        <v>1557374</v>
      </c>
      <c r="O106" s="2">
        <v>89342</v>
      </c>
      <c r="P106" s="3">
        <v>126.32210000000001</v>
      </c>
      <c r="Q106" s="3">
        <v>1.0123</v>
      </c>
      <c r="R106">
        <v>0.14000000000000001</v>
      </c>
    </row>
    <row r="107" spans="2:18" x14ac:dyDescent="0.35">
      <c r="B107">
        <v>66</v>
      </c>
      <c r="C107" t="s">
        <v>335</v>
      </c>
      <c r="D107" t="s">
        <v>336</v>
      </c>
      <c r="E107" t="s">
        <v>337</v>
      </c>
      <c r="F107" t="s">
        <v>20</v>
      </c>
      <c r="G107" s="1">
        <v>19397998</v>
      </c>
      <c r="H107" s="1">
        <v>18979243</v>
      </c>
      <c r="I107" s="1">
        <v>17835909</v>
      </c>
      <c r="J107" s="1">
        <v>16627837</v>
      </c>
      <c r="K107" s="1">
        <v>15236253</v>
      </c>
      <c r="L107" s="1">
        <v>16866563</v>
      </c>
      <c r="M107" s="1">
        <v>14172710</v>
      </c>
      <c r="N107" s="1">
        <v>12265305</v>
      </c>
      <c r="O107" s="2">
        <v>2724900</v>
      </c>
      <c r="P107" s="3">
        <v>7.1188000000000002</v>
      </c>
      <c r="Q107" s="3">
        <v>1.0105</v>
      </c>
      <c r="R107">
        <v>0.24</v>
      </c>
    </row>
    <row r="108" spans="2:18" x14ac:dyDescent="0.35">
      <c r="B108">
        <v>27</v>
      </c>
      <c r="C108" t="s">
        <v>338</v>
      </c>
      <c r="D108" t="s">
        <v>339</v>
      </c>
      <c r="E108" t="s">
        <v>340</v>
      </c>
      <c r="F108" t="s">
        <v>28</v>
      </c>
      <c r="G108" s="1">
        <v>54027487</v>
      </c>
      <c r="H108" s="1">
        <v>51985780</v>
      </c>
      <c r="I108" s="1">
        <v>46851488</v>
      </c>
      <c r="J108" s="1">
        <v>41517895</v>
      </c>
      <c r="K108" s="1">
        <v>30851606</v>
      </c>
      <c r="L108" s="1">
        <v>23162269</v>
      </c>
      <c r="M108" s="1">
        <v>16187124</v>
      </c>
      <c r="N108" s="1">
        <v>11473087</v>
      </c>
      <c r="O108" s="2">
        <v>580367</v>
      </c>
      <c r="P108" s="3">
        <v>93.091899999999995</v>
      </c>
      <c r="Q108" s="3">
        <v>1.0193000000000001</v>
      </c>
      <c r="R108">
        <v>0.68</v>
      </c>
    </row>
    <row r="109" spans="2:18" x14ac:dyDescent="0.35">
      <c r="B109">
        <v>192</v>
      </c>
      <c r="C109" t="s">
        <v>341</v>
      </c>
      <c r="D109" t="s">
        <v>342</v>
      </c>
      <c r="E109" t="s">
        <v>343</v>
      </c>
      <c r="F109" t="s">
        <v>32</v>
      </c>
      <c r="G109" s="1">
        <v>131232</v>
      </c>
      <c r="H109" s="1">
        <v>126463</v>
      </c>
      <c r="I109" s="1">
        <v>116707</v>
      </c>
      <c r="J109" s="1">
        <v>107995</v>
      </c>
      <c r="K109" s="1">
        <v>88826</v>
      </c>
      <c r="L109" s="1">
        <v>75124</v>
      </c>
      <c r="M109" s="1">
        <v>60813</v>
      </c>
      <c r="N109" s="1">
        <v>57437</v>
      </c>
      <c r="O109" s="2">
        <v>811</v>
      </c>
      <c r="P109" s="3">
        <v>161.815</v>
      </c>
      <c r="Q109" s="3">
        <v>1.0183</v>
      </c>
      <c r="R109">
        <v>0</v>
      </c>
    </row>
    <row r="110" spans="2:18" x14ac:dyDescent="0.35">
      <c r="B110">
        <v>129</v>
      </c>
      <c r="C110" t="s">
        <v>344</v>
      </c>
      <c r="D110" t="s">
        <v>345</v>
      </c>
      <c r="E110" t="s">
        <v>346</v>
      </c>
      <c r="F110" t="s">
        <v>20</v>
      </c>
      <c r="G110" s="1">
        <v>4268873</v>
      </c>
      <c r="H110" s="1">
        <v>4360444</v>
      </c>
      <c r="I110" s="1">
        <v>3908743</v>
      </c>
      <c r="J110" s="1">
        <v>2943356</v>
      </c>
      <c r="K110" s="1">
        <v>1934901</v>
      </c>
      <c r="L110" s="1">
        <v>1674938</v>
      </c>
      <c r="M110" s="1">
        <v>1493870</v>
      </c>
      <c r="N110" s="1">
        <v>802786</v>
      </c>
      <c r="O110" s="2">
        <v>17818</v>
      </c>
      <c r="P110" s="3">
        <v>239.5821</v>
      </c>
      <c r="Q110" s="3">
        <v>1.0044</v>
      </c>
      <c r="R110">
        <v>0.05</v>
      </c>
    </row>
    <row r="111" spans="2:18" x14ac:dyDescent="0.35">
      <c r="B111">
        <v>110</v>
      </c>
      <c r="C111" t="s">
        <v>347</v>
      </c>
      <c r="D111" t="s">
        <v>348</v>
      </c>
      <c r="E111" t="s">
        <v>349</v>
      </c>
      <c r="F111" t="s">
        <v>20</v>
      </c>
      <c r="G111" s="1">
        <v>6630623</v>
      </c>
      <c r="H111" s="1">
        <v>6424874</v>
      </c>
      <c r="I111" s="1">
        <v>5914980</v>
      </c>
      <c r="J111" s="1">
        <v>5483774</v>
      </c>
      <c r="K111" s="1">
        <v>4935182</v>
      </c>
      <c r="L111" s="1">
        <v>4394734</v>
      </c>
      <c r="M111" s="1">
        <v>3691209</v>
      </c>
      <c r="N111" s="1">
        <v>3016384</v>
      </c>
      <c r="O111" s="2">
        <v>199951</v>
      </c>
      <c r="P111" s="3">
        <v>33.161200000000001</v>
      </c>
      <c r="Q111" s="3">
        <v>1.0158</v>
      </c>
      <c r="R111">
        <v>0.08</v>
      </c>
    </row>
    <row r="112" spans="2:18" x14ac:dyDescent="0.35">
      <c r="B112">
        <v>103</v>
      </c>
      <c r="C112" t="s">
        <v>350</v>
      </c>
      <c r="D112" t="s">
        <v>351</v>
      </c>
      <c r="E112" t="s">
        <v>352</v>
      </c>
      <c r="F112" t="s">
        <v>20</v>
      </c>
      <c r="G112" s="1">
        <v>7529475</v>
      </c>
      <c r="H112" s="1">
        <v>7319399</v>
      </c>
      <c r="I112" s="1">
        <v>6787419</v>
      </c>
      <c r="J112" s="1">
        <v>6323418</v>
      </c>
      <c r="K112" s="1">
        <v>5430853</v>
      </c>
      <c r="L112" s="1">
        <v>4314443</v>
      </c>
      <c r="M112" s="1">
        <v>3297519</v>
      </c>
      <c r="N112" s="1">
        <v>2675283</v>
      </c>
      <c r="O112" s="2">
        <v>236800</v>
      </c>
      <c r="P112" s="3">
        <v>31.796800000000001</v>
      </c>
      <c r="Q112" s="3">
        <v>1.0141</v>
      </c>
      <c r="R112">
        <v>0.09</v>
      </c>
    </row>
    <row r="113" spans="2:18" x14ac:dyDescent="0.35">
      <c r="B113">
        <v>151</v>
      </c>
      <c r="C113" t="s">
        <v>353</v>
      </c>
      <c r="D113" t="s">
        <v>354</v>
      </c>
      <c r="E113" t="s">
        <v>355</v>
      </c>
      <c r="F113" t="s">
        <v>24</v>
      </c>
      <c r="G113" s="1">
        <v>1850651</v>
      </c>
      <c r="H113" s="1">
        <v>1897052</v>
      </c>
      <c r="I113" s="1">
        <v>1991955</v>
      </c>
      <c r="J113" s="1">
        <v>2101530</v>
      </c>
      <c r="K113" s="1">
        <v>2392530</v>
      </c>
      <c r="L113" s="1">
        <v>2689391</v>
      </c>
      <c r="M113" s="1">
        <v>2572037</v>
      </c>
      <c r="N113" s="1">
        <v>2397414</v>
      </c>
      <c r="O113" s="2">
        <v>64559</v>
      </c>
      <c r="P113" s="3">
        <v>28.666</v>
      </c>
      <c r="Q113" s="3">
        <v>0.98760000000000003</v>
      </c>
      <c r="R113">
        <v>0.02</v>
      </c>
    </row>
    <row r="114" spans="2:18" x14ac:dyDescent="0.35">
      <c r="B114">
        <v>119</v>
      </c>
      <c r="C114" t="s">
        <v>356</v>
      </c>
      <c r="D114" t="s">
        <v>357</v>
      </c>
      <c r="E114" t="s">
        <v>358</v>
      </c>
      <c r="F114" t="s">
        <v>20</v>
      </c>
      <c r="G114" s="1">
        <v>5489739</v>
      </c>
      <c r="H114" s="1">
        <v>5662923</v>
      </c>
      <c r="I114" s="1">
        <v>6398940</v>
      </c>
      <c r="J114" s="1">
        <v>4995800</v>
      </c>
      <c r="K114" s="1">
        <v>4320642</v>
      </c>
      <c r="L114" s="1">
        <v>3593700</v>
      </c>
      <c r="M114" s="1">
        <v>2963702</v>
      </c>
      <c r="N114" s="1">
        <v>2381791</v>
      </c>
      <c r="O114" s="2">
        <v>10452</v>
      </c>
      <c r="P114" s="3">
        <v>525.23339999999996</v>
      </c>
      <c r="Q114" s="3">
        <v>0.98160000000000003</v>
      </c>
      <c r="R114">
        <v>7.0000000000000007E-2</v>
      </c>
    </row>
    <row r="115" spans="2:18" x14ac:dyDescent="0.35">
      <c r="B115">
        <v>147</v>
      </c>
      <c r="C115" t="s">
        <v>359</v>
      </c>
      <c r="D115" t="s">
        <v>360</v>
      </c>
      <c r="E115" t="s">
        <v>361</v>
      </c>
      <c r="F115" t="s">
        <v>28</v>
      </c>
      <c r="G115" s="1">
        <v>2305825</v>
      </c>
      <c r="H115" s="1">
        <v>2254100</v>
      </c>
      <c r="I115" s="1">
        <v>2118521</v>
      </c>
      <c r="J115" s="1">
        <v>2022747</v>
      </c>
      <c r="K115" s="1">
        <v>1998630</v>
      </c>
      <c r="L115" s="1">
        <v>1798997</v>
      </c>
      <c r="M115" s="1">
        <v>1407672</v>
      </c>
      <c r="N115" s="1">
        <v>1023481</v>
      </c>
      <c r="O115" s="2">
        <v>30355</v>
      </c>
      <c r="P115" s="3">
        <v>75.962000000000003</v>
      </c>
      <c r="Q115" s="3">
        <v>1.0106999999999999</v>
      </c>
      <c r="R115">
        <v>0.03</v>
      </c>
    </row>
    <row r="116" spans="2:18" x14ac:dyDescent="0.35">
      <c r="B116">
        <v>121</v>
      </c>
      <c r="C116" t="s">
        <v>362</v>
      </c>
      <c r="D116" t="s">
        <v>363</v>
      </c>
      <c r="E116" t="s">
        <v>364</v>
      </c>
      <c r="F116" t="s">
        <v>28</v>
      </c>
      <c r="G116" s="1">
        <v>5302681</v>
      </c>
      <c r="H116" s="1">
        <v>5087584</v>
      </c>
      <c r="I116" s="1">
        <v>4612329</v>
      </c>
      <c r="J116" s="1">
        <v>4019956</v>
      </c>
      <c r="K116" s="1">
        <v>2895224</v>
      </c>
      <c r="L116" s="1">
        <v>2209731</v>
      </c>
      <c r="M116" s="1">
        <v>1932169</v>
      </c>
      <c r="N116" s="1">
        <v>1463563</v>
      </c>
      <c r="O116" s="2">
        <v>111369</v>
      </c>
      <c r="P116" s="3">
        <v>47.613599999999998</v>
      </c>
      <c r="Q116" s="3">
        <v>1.0209999999999999</v>
      </c>
      <c r="R116">
        <v>7.0000000000000007E-2</v>
      </c>
    </row>
    <row r="117" spans="2:18" x14ac:dyDescent="0.35">
      <c r="B117">
        <v>107</v>
      </c>
      <c r="C117" t="s">
        <v>365</v>
      </c>
      <c r="D117" t="s">
        <v>366</v>
      </c>
      <c r="E117" t="s">
        <v>367</v>
      </c>
      <c r="F117" t="s">
        <v>28</v>
      </c>
      <c r="G117" s="1">
        <v>6812341</v>
      </c>
      <c r="H117" s="1">
        <v>6653942</v>
      </c>
      <c r="I117" s="1">
        <v>6192235</v>
      </c>
      <c r="J117" s="1">
        <v>6491988</v>
      </c>
      <c r="K117" s="1">
        <v>5154790</v>
      </c>
      <c r="L117" s="1">
        <v>4236983</v>
      </c>
      <c r="M117" s="1">
        <v>2962720</v>
      </c>
      <c r="N117" s="1">
        <v>1909177</v>
      </c>
      <c r="O117" s="2">
        <v>1759540</v>
      </c>
      <c r="P117" s="3">
        <v>3.8717000000000001</v>
      </c>
      <c r="Q117" s="3">
        <v>1.0114000000000001</v>
      </c>
      <c r="R117">
        <v>0.09</v>
      </c>
    </row>
    <row r="118" spans="2:18" x14ac:dyDescent="0.35">
      <c r="B118">
        <v>216</v>
      </c>
      <c r="C118" t="s">
        <v>368</v>
      </c>
      <c r="D118" t="s">
        <v>369</v>
      </c>
      <c r="E118" t="s">
        <v>370</v>
      </c>
      <c r="F118" t="s">
        <v>24</v>
      </c>
      <c r="G118" s="1">
        <v>39327</v>
      </c>
      <c r="H118" s="1">
        <v>38756</v>
      </c>
      <c r="I118" s="1">
        <v>37355</v>
      </c>
      <c r="J118" s="1">
        <v>35926</v>
      </c>
      <c r="K118" s="1">
        <v>33026</v>
      </c>
      <c r="L118" s="1">
        <v>28765</v>
      </c>
      <c r="M118" s="1">
        <v>25003</v>
      </c>
      <c r="N118" s="1">
        <v>21089</v>
      </c>
      <c r="O118" s="2">
        <v>160</v>
      </c>
      <c r="P118" s="3">
        <v>245.7937</v>
      </c>
      <c r="Q118" s="3">
        <v>1.0074000000000001</v>
      </c>
      <c r="R118">
        <v>0</v>
      </c>
    </row>
    <row r="119" spans="2:18" x14ac:dyDescent="0.35">
      <c r="B119">
        <v>141</v>
      </c>
      <c r="C119" t="s">
        <v>371</v>
      </c>
      <c r="D119" t="s">
        <v>372</v>
      </c>
      <c r="E119" t="s">
        <v>373</v>
      </c>
      <c r="F119" t="s">
        <v>24</v>
      </c>
      <c r="G119" s="1">
        <v>2750055</v>
      </c>
      <c r="H119" s="1">
        <v>2820267</v>
      </c>
      <c r="I119" s="1">
        <v>2963765</v>
      </c>
      <c r="J119" s="1">
        <v>3139019</v>
      </c>
      <c r="K119" s="1">
        <v>3599637</v>
      </c>
      <c r="L119" s="1">
        <v>3785847</v>
      </c>
      <c r="M119" s="1">
        <v>3521206</v>
      </c>
      <c r="N119" s="1">
        <v>3210147</v>
      </c>
      <c r="O119" s="2">
        <v>65300</v>
      </c>
      <c r="P119" s="3">
        <v>42.114199999999997</v>
      </c>
      <c r="Q119" s="3">
        <v>0.9869</v>
      </c>
      <c r="R119">
        <v>0.03</v>
      </c>
    </row>
    <row r="120" spans="2:18" x14ac:dyDescent="0.35">
      <c r="B120">
        <v>168</v>
      </c>
      <c r="C120" t="s">
        <v>374</v>
      </c>
      <c r="D120" t="s">
        <v>375</v>
      </c>
      <c r="E120" t="s">
        <v>375</v>
      </c>
      <c r="F120" t="s">
        <v>24</v>
      </c>
      <c r="G120" s="1">
        <v>647599</v>
      </c>
      <c r="H120" s="1">
        <v>630399</v>
      </c>
      <c r="I120" s="1">
        <v>569408</v>
      </c>
      <c r="J120" s="1">
        <v>507070</v>
      </c>
      <c r="K120" s="1">
        <v>435628</v>
      </c>
      <c r="L120" s="1">
        <v>381267</v>
      </c>
      <c r="M120" s="1">
        <v>363741</v>
      </c>
      <c r="N120" s="1">
        <v>339342</v>
      </c>
      <c r="O120" s="2">
        <v>2586</v>
      </c>
      <c r="P120" s="3">
        <v>250.42500000000001</v>
      </c>
      <c r="Q120" s="3">
        <v>1.0128999999999999</v>
      </c>
      <c r="R120">
        <v>0.01</v>
      </c>
    </row>
    <row r="121" spans="2:18" x14ac:dyDescent="0.35">
      <c r="B121">
        <v>167</v>
      </c>
      <c r="C121" t="s">
        <v>376</v>
      </c>
      <c r="D121" t="s">
        <v>377</v>
      </c>
      <c r="E121" t="s">
        <v>378</v>
      </c>
      <c r="F121" t="s">
        <v>20</v>
      </c>
      <c r="G121" s="1">
        <v>695168</v>
      </c>
      <c r="H121" s="1">
        <v>676283</v>
      </c>
      <c r="I121" s="1">
        <v>615239</v>
      </c>
      <c r="J121" s="1">
        <v>557297</v>
      </c>
      <c r="K121" s="1">
        <v>431896</v>
      </c>
      <c r="L121" s="1">
        <v>350227</v>
      </c>
      <c r="M121" s="1">
        <v>245332</v>
      </c>
      <c r="N121" s="1">
        <v>247284</v>
      </c>
      <c r="O121" s="2">
        <v>30</v>
      </c>
      <c r="P121" s="3">
        <v>23172.2667</v>
      </c>
      <c r="Q121" s="3">
        <v>1.0125</v>
      </c>
      <c r="R121">
        <v>0.01</v>
      </c>
    </row>
    <row r="122" spans="2:18" x14ac:dyDescent="0.35">
      <c r="B122">
        <v>50</v>
      </c>
      <c r="C122" t="s">
        <v>379</v>
      </c>
      <c r="D122" t="s">
        <v>380</v>
      </c>
      <c r="E122" t="s">
        <v>381</v>
      </c>
      <c r="F122" t="s">
        <v>28</v>
      </c>
      <c r="G122" s="1">
        <v>29611714</v>
      </c>
      <c r="H122" s="1">
        <v>28225177</v>
      </c>
      <c r="I122" s="1">
        <v>24850912</v>
      </c>
      <c r="J122" s="1">
        <v>21731053</v>
      </c>
      <c r="K122" s="1">
        <v>16216431</v>
      </c>
      <c r="L122" s="1">
        <v>11882762</v>
      </c>
      <c r="M122" s="1">
        <v>8948162</v>
      </c>
      <c r="N122" s="1">
        <v>6639751</v>
      </c>
      <c r="O122" s="2">
        <v>587041</v>
      </c>
      <c r="P122" s="3">
        <v>50.442300000000003</v>
      </c>
      <c r="Q122" s="3">
        <v>1.0241</v>
      </c>
      <c r="R122">
        <v>0.37</v>
      </c>
    </row>
    <row r="123" spans="2:18" x14ac:dyDescent="0.35">
      <c r="B123">
        <v>62</v>
      </c>
      <c r="C123" t="s">
        <v>382</v>
      </c>
      <c r="D123" t="s">
        <v>383</v>
      </c>
      <c r="E123" t="s">
        <v>384</v>
      </c>
      <c r="F123" t="s">
        <v>28</v>
      </c>
      <c r="G123" s="1">
        <v>20405317</v>
      </c>
      <c r="H123" s="1">
        <v>19377061</v>
      </c>
      <c r="I123" s="1">
        <v>16938942</v>
      </c>
      <c r="J123" s="1">
        <v>14718422</v>
      </c>
      <c r="K123" s="1">
        <v>11229387</v>
      </c>
      <c r="L123" s="1">
        <v>9539665</v>
      </c>
      <c r="M123" s="1">
        <v>6267369</v>
      </c>
      <c r="N123" s="1">
        <v>4625141</v>
      </c>
      <c r="O123" s="2">
        <v>118484</v>
      </c>
      <c r="P123" s="3">
        <v>172.22</v>
      </c>
      <c r="Q123" s="3">
        <v>1.0259</v>
      </c>
      <c r="R123">
        <v>0.26</v>
      </c>
    </row>
    <row r="124" spans="2:18" x14ac:dyDescent="0.35">
      <c r="B124">
        <v>45</v>
      </c>
      <c r="C124" t="s">
        <v>385</v>
      </c>
      <c r="D124" t="s">
        <v>386</v>
      </c>
      <c r="E124" t="s">
        <v>387</v>
      </c>
      <c r="F124" t="s">
        <v>20</v>
      </c>
      <c r="G124" s="1">
        <v>33938221</v>
      </c>
      <c r="H124" s="1">
        <v>33199993</v>
      </c>
      <c r="I124" s="1">
        <v>31068833</v>
      </c>
      <c r="J124" s="1">
        <v>28717731</v>
      </c>
      <c r="K124" s="1">
        <v>22945150</v>
      </c>
      <c r="L124" s="1">
        <v>17517054</v>
      </c>
      <c r="M124" s="1">
        <v>13215707</v>
      </c>
      <c r="N124" s="1">
        <v>10306508</v>
      </c>
      <c r="O124" s="2">
        <v>330803</v>
      </c>
      <c r="P124" s="3">
        <v>102.5934</v>
      </c>
      <c r="Q124" s="3">
        <v>1.0108999999999999</v>
      </c>
      <c r="R124">
        <v>0.43</v>
      </c>
    </row>
    <row r="125" spans="2:18" x14ac:dyDescent="0.35">
      <c r="B125">
        <v>174</v>
      </c>
      <c r="C125" t="s">
        <v>388</v>
      </c>
      <c r="D125" t="s">
        <v>389</v>
      </c>
      <c r="E125" t="s">
        <v>390</v>
      </c>
      <c r="F125" t="s">
        <v>20</v>
      </c>
      <c r="G125" s="1">
        <v>523787</v>
      </c>
      <c r="H125" s="1">
        <v>514438</v>
      </c>
      <c r="I125" s="1">
        <v>435582</v>
      </c>
      <c r="J125" s="1">
        <v>361575</v>
      </c>
      <c r="K125" s="1">
        <v>282507</v>
      </c>
      <c r="L125" s="1">
        <v>224957</v>
      </c>
      <c r="M125" s="1">
        <v>164887</v>
      </c>
      <c r="N125" s="1">
        <v>123243</v>
      </c>
      <c r="O125" s="2">
        <v>300</v>
      </c>
      <c r="P125" s="3">
        <v>1745.9567</v>
      </c>
      <c r="Q125" s="3">
        <v>1.0044999999999999</v>
      </c>
      <c r="R125">
        <v>0.01</v>
      </c>
    </row>
    <row r="126" spans="2:18" x14ac:dyDescent="0.35">
      <c r="B126">
        <v>59</v>
      </c>
      <c r="C126" t="s">
        <v>391</v>
      </c>
      <c r="D126" t="s">
        <v>392</v>
      </c>
      <c r="E126" t="s">
        <v>393</v>
      </c>
      <c r="F126" t="s">
        <v>28</v>
      </c>
      <c r="G126" s="1">
        <v>22593590</v>
      </c>
      <c r="H126" s="1">
        <v>21224040</v>
      </c>
      <c r="I126" s="1">
        <v>18112907</v>
      </c>
      <c r="J126" s="1">
        <v>15529181</v>
      </c>
      <c r="K126" s="1">
        <v>11239101</v>
      </c>
      <c r="L126" s="1">
        <v>8945026</v>
      </c>
      <c r="M126" s="1">
        <v>7372581</v>
      </c>
      <c r="N126" s="1">
        <v>6153587</v>
      </c>
      <c r="O126" s="2">
        <v>1240192</v>
      </c>
      <c r="P126" s="3">
        <v>18.2178</v>
      </c>
      <c r="Q126" s="3">
        <v>1.0314000000000001</v>
      </c>
      <c r="R126">
        <v>0.28000000000000003</v>
      </c>
    </row>
    <row r="127" spans="2:18" x14ac:dyDescent="0.35">
      <c r="B127">
        <v>173</v>
      </c>
      <c r="C127" t="s">
        <v>394</v>
      </c>
      <c r="D127" t="s">
        <v>395</v>
      </c>
      <c r="E127" t="s">
        <v>396</v>
      </c>
      <c r="F127" t="s">
        <v>24</v>
      </c>
      <c r="G127" s="1">
        <v>533286</v>
      </c>
      <c r="H127" s="1">
        <v>515357</v>
      </c>
      <c r="I127" s="1">
        <v>456579</v>
      </c>
      <c r="J127" s="1">
        <v>418755</v>
      </c>
      <c r="K127" s="1">
        <v>399212</v>
      </c>
      <c r="L127" s="1">
        <v>365392</v>
      </c>
      <c r="M127" s="1">
        <v>333587</v>
      </c>
      <c r="N127" s="1">
        <v>315414</v>
      </c>
      <c r="O127" s="2">
        <v>316</v>
      </c>
      <c r="P127" s="3">
        <v>1687.6139000000001</v>
      </c>
      <c r="Q127" s="3">
        <v>1.0124</v>
      </c>
      <c r="R127">
        <v>0.01</v>
      </c>
    </row>
    <row r="128" spans="2:18" x14ac:dyDescent="0.35">
      <c r="B128">
        <v>215</v>
      </c>
      <c r="C128" t="s">
        <v>397</v>
      </c>
      <c r="D128" t="s">
        <v>398</v>
      </c>
      <c r="E128" t="s">
        <v>399</v>
      </c>
      <c r="F128" t="s">
        <v>32</v>
      </c>
      <c r="G128" s="1">
        <v>41569</v>
      </c>
      <c r="H128" s="1">
        <v>43413</v>
      </c>
      <c r="I128" s="1">
        <v>49410</v>
      </c>
      <c r="J128" s="1">
        <v>53416</v>
      </c>
      <c r="K128" s="1">
        <v>54224</v>
      </c>
      <c r="L128" s="1">
        <v>46047</v>
      </c>
      <c r="M128" s="1">
        <v>31988</v>
      </c>
      <c r="N128" s="1">
        <v>23969</v>
      </c>
      <c r="O128" s="2">
        <v>181</v>
      </c>
      <c r="P128" s="3">
        <v>229.66300000000001</v>
      </c>
      <c r="Q128" s="3">
        <v>0.98860000000000003</v>
      </c>
      <c r="R128">
        <v>0</v>
      </c>
    </row>
    <row r="129" spans="2:18" x14ac:dyDescent="0.35">
      <c r="B129">
        <v>180</v>
      </c>
      <c r="C129" t="s">
        <v>400</v>
      </c>
      <c r="D129" t="s">
        <v>401</v>
      </c>
      <c r="E129" t="s">
        <v>402</v>
      </c>
      <c r="F129" t="s">
        <v>42</v>
      </c>
      <c r="G129" s="1">
        <v>367507</v>
      </c>
      <c r="H129" s="1">
        <v>370391</v>
      </c>
      <c r="I129" s="1">
        <v>383515</v>
      </c>
      <c r="J129" s="1">
        <v>392181</v>
      </c>
      <c r="K129" s="1">
        <v>432543</v>
      </c>
      <c r="L129" s="1">
        <v>374271</v>
      </c>
      <c r="M129" s="1">
        <v>333786</v>
      </c>
      <c r="N129" s="1">
        <v>326428</v>
      </c>
      <c r="O129" s="2">
        <v>1128</v>
      </c>
      <c r="P129" s="3">
        <v>325.80410000000001</v>
      </c>
      <c r="Q129" s="3">
        <v>0.99650000000000005</v>
      </c>
      <c r="R129">
        <v>0</v>
      </c>
    </row>
    <row r="130" spans="2:18" x14ac:dyDescent="0.35">
      <c r="B130">
        <v>126</v>
      </c>
      <c r="C130" t="s">
        <v>403</v>
      </c>
      <c r="D130" t="s">
        <v>404</v>
      </c>
      <c r="E130" t="s">
        <v>405</v>
      </c>
      <c r="F130" t="s">
        <v>28</v>
      </c>
      <c r="G130" s="1">
        <v>4736139</v>
      </c>
      <c r="H130" s="1">
        <v>4498604</v>
      </c>
      <c r="I130" s="1">
        <v>3946220</v>
      </c>
      <c r="J130" s="1">
        <v>3419461</v>
      </c>
      <c r="K130" s="1">
        <v>2695003</v>
      </c>
      <c r="L130" s="1">
        <v>2006027</v>
      </c>
      <c r="M130" s="1">
        <v>1506694</v>
      </c>
      <c r="N130" s="1">
        <v>1122198</v>
      </c>
      <c r="O130" s="2">
        <v>1030700</v>
      </c>
      <c r="P130" s="3">
        <v>4.5951000000000004</v>
      </c>
      <c r="Q130" s="3">
        <v>1.0263</v>
      </c>
      <c r="R130">
        <v>0.06</v>
      </c>
    </row>
    <row r="131" spans="2:18" x14ac:dyDescent="0.35">
      <c r="B131">
        <v>157</v>
      </c>
      <c r="C131" t="s">
        <v>406</v>
      </c>
      <c r="D131" t="s">
        <v>407</v>
      </c>
      <c r="E131" t="s">
        <v>408</v>
      </c>
      <c r="F131" t="s">
        <v>28</v>
      </c>
      <c r="G131" s="1">
        <v>1299469</v>
      </c>
      <c r="H131" s="1">
        <v>1297828</v>
      </c>
      <c r="I131" s="1">
        <v>1293153</v>
      </c>
      <c r="J131" s="1">
        <v>1283330</v>
      </c>
      <c r="K131" s="1">
        <v>1215930</v>
      </c>
      <c r="L131" s="1">
        <v>1090290</v>
      </c>
      <c r="M131" s="1">
        <v>954865</v>
      </c>
      <c r="N131" s="1">
        <v>830115</v>
      </c>
      <c r="O131" s="2">
        <v>2040</v>
      </c>
      <c r="P131" s="3">
        <v>636.99459999999999</v>
      </c>
      <c r="Q131" s="3">
        <v>1.0004</v>
      </c>
      <c r="R131">
        <v>0.02</v>
      </c>
    </row>
    <row r="132" spans="2:18" x14ac:dyDescent="0.35">
      <c r="B132">
        <v>182</v>
      </c>
      <c r="C132" t="s">
        <v>409</v>
      </c>
      <c r="D132" t="s">
        <v>410</v>
      </c>
      <c r="E132" t="s">
        <v>411</v>
      </c>
      <c r="F132" t="s">
        <v>28</v>
      </c>
      <c r="G132" s="1">
        <v>326101</v>
      </c>
      <c r="H132" s="1">
        <v>305587</v>
      </c>
      <c r="I132" s="1">
        <v>249545</v>
      </c>
      <c r="J132" s="1">
        <v>211786</v>
      </c>
      <c r="K132" s="1">
        <v>159215</v>
      </c>
      <c r="L132" s="1">
        <v>92659</v>
      </c>
      <c r="M132" s="1">
        <v>52233</v>
      </c>
      <c r="N132" s="1">
        <v>35383</v>
      </c>
      <c r="O132" s="2">
        <v>374</v>
      </c>
      <c r="P132" s="3">
        <v>871.92780000000005</v>
      </c>
      <c r="Q132" s="3">
        <v>1.0319</v>
      </c>
      <c r="R132">
        <v>0</v>
      </c>
    </row>
    <row r="133" spans="2:18" x14ac:dyDescent="0.35">
      <c r="B133">
        <v>10</v>
      </c>
      <c r="C133" t="s">
        <v>412</v>
      </c>
      <c r="D133" t="s">
        <v>413</v>
      </c>
      <c r="E133" t="s">
        <v>414</v>
      </c>
      <c r="F133" t="s">
        <v>42</v>
      </c>
      <c r="G133" s="1">
        <v>127504125</v>
      </c>
      <c r="H133" s="1">
        <v>125998302</v>
      </c>
      <c r="I133" s="1">
        <v>120149897</v>
      </c>
      <c r="J133" s="1">
        <v>112532401</v>
      </c>
      <c r="K133" s="1">
        <v>97873442</v>
      </c>
      <c r="L133" s="1">
        <v>81720428</v>
      </c>
      <c r="M133" s="1">
        <v>67705186</v>
      </c>
      <c r="N133" s="1">
        <v>50289306</v>
      </c>
      <c r="O133" s="2">
        <v>1964375</v>
      </c>
      <c r="P133" s="3">
        <v>64.908199999999994</v>
      </c>
      <c r="Q133" s="3">
        <v>1.0063</v>
      </c>
      <c r="R133">
        <v>1.6</v>
      </c>
    </row>
    <row r="134" spans="2:18" x14ac:dyDescent="0.35">
      <c r="B134">
        <v>194</v>
      </c>
      <c r="C134" t="s">
        <v>415</v>
      </c>
      <c r="D134" t="s">
        <v>416</v>
      </c>
      <c r="E134" t="s">
        <v>417</v>
      </c>
      <c r="F134" t="s">
        <v>32</v>
      </c>
      <c r="G134" s="1">
        <v>114164</v>
      </c>
      <c r="H134" s="1">
        <v>112106</v>
      </c>
      <c r="I134" s="1">
        <v>109462</v>
      </c>
      <c r="J134" s="1">
        <v>107588</v>
      </c>
      <c r="K134" s="1">
        <v>111709</v>
      </c>
      <c r="L134" s="1">
        <v>98603</v>
      </c>
      <c r="M134" s="1">
        <v>76299</v>
      </c>
      <c r="N134" s="1">
        <v>58989</v>
      </c>
      <c r="O134" s="2">
        <v>702</v>
      </c>
      <c r="P134" s="3">
        <v>162.6268</v>
      </c>
      <c r="Q134" s="3">
        <v>1.0091000000000001</v>
      </c>
      <c r="R134">
        <v>0</v>
      </c>
    </row>
    <row r="135" spans="2:18" x14ac:dyDescent="0.35">
      <c r="B135">
        <v>135</v>
      </c>
      <c r="C135" t="s">
        <v>418</v>
      </c>
      <c r="D135" t="s">
        <v>419</v>
      </c>
      <c r="E135" t="s">
        <v>420</v>
      </c>
      <c r="F135" t="s">
        <v>24</v>
      </c>
      <c r="G135" s="1">
        <v>3272996</v>
      </c>
      <c r="H135" s="1">
        <v>3084847</v>
      </c>
      <c r="I135" s="1">
        <v>3277388</v>
      </c>
      <c r="J135" s="1">
        <v>3678186</v>
      </c>
      <c r="K135" s="1">
        <v>4251573</v>
      </c>
      <c r="L135" s="1">
        <v>4480199</v>
      </c>
      <c r="M135" s="1">
        <v>4103240</v>
      </c>
      <c r="N135" s="1">
        <v>3711140</v>
      </c>
      <c r="O135" s="2">
        <v>33846</v>
      </c>
      <c r="P135" s="3">
        <v>96.702600000000004</v>
      </c>
      <c r="Q135" s="3">
        <v>1.0690999999999999</v>
      </c>
      <c r="R135">
        <v>0.04</v>
      </c>
    </row>
    <row r="136" spans="2:18" x14ac:dyDescent="0.35">
      <c r="B136">
        <v>217</v>
      </c>
      <c r="C136" t="s">
        <v>421</v>
      </c>
      <c r="D136" t="s">
        <v>422</v>
      </c>
      <c r="E136" t="s">
        <v>422</v>
      </c>
      <c r="F136" t="s">
        <v>24</v>
      </c>
      <c r="G136" s="1">
        <v>36469</v>
      </c>
      <c r="H136" s="1">
        <v>36922</v>
      </c>
      <c r="I136" s="1">
        <v>36760</v>
      </c>
      <c r="J136" s="1">
        <v>33178</v>
      </c>
      <c r="K136" s="1">
        <v>32465</v>
      </c>
      <c r="L136" s="1">
        <v>30329</v>
      </c>
      <c r="M136" s="1">
        <v>27076</v>
      </c>
      <c r="N136" s="1">
        <v>24270</v>
      </c>
      <c r="O136" s="2">
        <v>2</v>
      </c>
      <c r="P136" s="3">
        <v>18234.5</v>
      </c>
      <c r="Q136" s="3">
        <v>0.99409999999999998</v>
      </c>
      <c r="R136">
        <v>0</v>
      </c>
    </row>
    <row r="137" spans="2:18" x14ac:dyDescent="0.35">
      <c r="B137">
        <v>134</v>
      </c>
      <c r="C137" t="s">
        <v>423</v>
      </c>
      <c r="D137" t="s">
        <v>424</v>
      </c>
      <c r="E137" t="s">
        <v>425</v>
      </c>
      <c r="F137" t="s">
        <v>20</v>
      </c>
      <c r="G137" s="1">
        <v>3398366</v>
      </c>
      <c r="H137" s="1">
        <v>3294335</v>
      </c>
      <c r="I137" s="1">
        <v>2964749</v>
      </c>
      <c r="J137" s="1">
        <v>2702520</v>
      </c>
      <c r="K137" s="1">
        <v>2450979</v>
      </c>
      <c r="L137" s="1">
        <v>2161433</v>
      </c>
      <c r="M137" s="1">
        <v>1697780</v>
      </c>
      <c r="N137" s="1">
        <v>1293880</v>
      </c>
      <c r="O137" s="2">
        <v>1564110</v>
      </c>
      <c r="P137" s="3">
        <v>2.1726999999999999</v>
      </c>
      <c r="Q137" s="3">
        <v>1.0150999999999999</v>
      </c>
      <c r="R137">
        <v>0.04</v>
      </c>
    </row>
    <row r="138" spans="2:18" x14ac:dyDescent="0.35">
      <c r="B138">
        <v>169</v>
      </c>
      <c r="C138" t="s">
        <v>426</v>
      </c>
      <c r="D138" t="s">
        <v>427</v>
      </c>
      <c r="E138" t="s">
        <v>428</v>
      </c>
      <c r="F138" t="s">
        <v>24</v>
      </c>
      <c r="G138" s="1">
        <v>627082</v>
      </c>
      <c r="H138" s="1">
        <v>629048</v>
      </c>
      <c r="I138" s="1">
        <v>633966</v>
      </c>
      <c r="J138" s="1">
        <v>631044</v>
      </c>
      <c r="K138" s="1">
        <v>633324</v>
      </c>
      <c r="L138" s="1">
        <v>621442</v>
      </c>
      <c r="M138" s="1">
        <v>589324</v>
      </c>
      <c r="N138" s="1">
        <v>530268</v>
      </c>
      <c r="O138" s="2">
        <v>13812</v>
      </c>
      <c r="P138" s="3">
        <v>45.401200000000003</v>
      </c>
      <c r="Q138" s="3">
        <v>0.99880000000000002</v>
      </c>
      <c r="R138">
        <v>0.01</v>
      </c>
    </row>
    <row r="139" spans="2:18" x14ac:dyDescent="0.35">
      <c r="B139">
        <v>230</v>
      </c>
      <c r="C139" t="s">
        <v>429</v>
      </c>
      <c r="D139" t="s">
        <v>430</v>
      </c>
      <c r="E139" t="s">
        <v>431</v>
      </c>
      <c r="F139" t="s">
        <v>42</v>
      </c>
      <c r="G139" s="1">
        <v>4390</v>
      </c>
      <c r="H139" s="1">
        <v>4500</v>
      </c>
      <c r="I139" s="1">
        <v>5059</v>
      </c>
      <c r="J139" s="1">
        <v>4938</v>
      </c>
      <c r="K139" s="1">
        <v>5138</v>
      </c>
      <c r="L139" s="1">
        <v>10805</v>
      </c>
      <c r="M139" s="1">
        <v>11452</v>
      </c>
      <c r="N139" s="1">
        <v>11402</v>
      </c>
      <c r="O139" s="2">
        <v>102</v>
      </c>
      <c r="P139" s="3">
        <v>43.039200000000001</v>
      </c>
      <c r="Q139" s="3">
        <v>0.99390000000000001</v>
      </c>
      <c r="R139">
        <v>0</v>
      </c>
    </row>
    <row r="140" spans="2:18" x14ac:dyDescent="0.35">
      <c r="B140">
        <v>40</v>
      </c>
      <c r="C140" t="s">
        <v>432</v>
      </c>
      <c r="D140" t="s">
        <v>433</v>
      </c>
      <c r="E140" t="s">
        <v>434</v>
      </c>
      <c r="F140" t="s">
        <v>28</v>
      </c>
      <c r="G140" s="1">
        <v>37457971</v>
      </c>
      <c r="H140" s="1">
        <v>36688772</v>
      </c>
      <c r="I140" s="1">
        <v>34680458</v>
      </c>
      <c r="J140" s="1">
        <v>32464865</v>
      </c>
      <c r="K140" s="1">
        <v>28554415</v>
      </c>
      <c r="L140" s="1">
        <v>24570814</v>
      </c>
      <c r="M140" s="1">
        <v>19678444</v>
      </c>
      <c r="N140" s="1">
        <v>15274351</v>
      </c>
      <c r="O140" s="2">
        <v>446550</v>
      </c>
      <c r="P140" s="3">
        <v>83.882999999999996</v>
      </c>
      <c r="Q140" s="3">
        <v>1.0103</v>
      </c>
      <c r="R140">
        <v>0.47</v>
      </c>
    </row>
    <row r="141" spans="2:18" x14ac:dyDescent="0.35">
      <c r="B141">
        <v>48</v>
      </c>
      <c r="C141" t="s">
        <v>435</v>
      </c>
      <c r="D141" t="s">
        <v>436</v>
      </c>
      <c r="E141" t="s">
        <v>437</v>
      </c>
      <c r="F141" t="s">
        <v>28</v>
      </c>
      <c r="G141" s="1">
        <v>32969517</v>
      </c>
      <c r="H141" s="1">
        <v>31178239</v>
      </c>
      <c r="I141" s="1">
        <v>26843246</v>
      </c>
      <c r="J141" s="1">
        <v>23073723</v>
      </c>
      <c r="K141" s="1">
        <v>17768505</v>
      </c>
      <c r="L141" s="1">
        <v>13303459</v>
      </c>
      <c r="M141" s="1">
        <v>11413587</v>
      </c>
      <c r="N141" s="1">
        <v>8411676</v>
      </c>
      <c r="O141" s="2">
        <v>801590</v>
      </c>
      <c r="P141" s="3">
        <v>41.130200000000002</v>
      </c>
      <c r="Q141" s="3">
        <v>1.0278</v>
      </c>
      <c r="R141">
        <v>0.41</v>
      </c>
    </row>
    <row r="142" spans="2:18" x14ac:dyDescent="0.35">
      <c r="B142">
        <v>26</v>
      </c>
      <c r="C142" t="s">
        <v>438</v>
      </c>
      <c r="D142" t="s">
        <v>439</v>
      </c>
      <c r="E142" t="s">
        <v>440</v>
      </c>
      <c r="F142" t="s">
        <v>20</v>
      </c>
      <c r="G142" s="1">
        <v>54179306</v>
      </c>
      <c r="H142" s="1">
        <v>53423198</v>
      </c>
      <c r="I142" s="1">
        <v>51483949</v>
      </c>
      <c r="J142" s="1">
        <v>49390988</v>
      </c>
      <c r="K142" s="1">
        <v>45538332</v>
      </c>
      <c r="L142" s="1">
        <v>40099553</v>
      </c>
      <c r="M142" s="1">
        <v>33465781</v>
      </c>
      <c r="N142" s="1">
        <v>27284112</v>
      </c>
      <c r="O142" s="2">
        <v>676578</v>
      </c>
      <c r="P142" s="3">
        <v>80.078400000000002</v>
      </c>
      <c r="Q142" s="3">
        <v>1.0071000000000001</v>
      </c>
      <c r="R142">
        <v>0.68</v>
      </c>
    </row>
    <row r="143" spans="2:18" x14ac:dyDescent="0.35">
      <c r="B143">
        <v>145</v>
      </c>
      <c r="C143" t="s">
        <v>441</v>
      </c>
      <c r="D143" t="s">
        <v>442</v>
      </c>
      <c r="E143" t="s">
        <v>443</v>
      </c>
      <c r="F143" t="s">
        <v>28</v>
      </c>
      <c r="G143" s="1">
        <v>2567012</v>
      </c>
      <c r="H143" s="1">
        <v>2489098</v>
      </c>
      <c r="I143" s="1">
        <v>2282704</v>
      </c>
      <c r="J143" s="1">
        <v>2099271</v>
      </c>
      <c r="K143" s="1">
        <v>1819141</v>
      </c>
      <c r="L143" s="1">
        <v>1369011</v>
      </c>
      <c r="M143" s="1">
        <v>975994</v>
      </c>
      <c r="N143" s="1">
        <v>754467</v>
      </c>
      <c r="O143" s="2">
        <v>825615</v>
      </c>
      <c r="P143" s="3">
        <v>3.1092</v>
      </c>
      <c r="Q143" s="3">
        <v>1.0145999999999999</v>
      </c>
      <c r="R143">
        <v>0.03</v>
      </c>
    </row>
    <row r="144" spans="2:18" x14ac:dyDescent="0.35">
      <c r="B144">
        <v>225</v>
      </c>
      <c r="C144" t="s">
        <v>444</v>
      </c>
      <c r="D144" t="s">
        <v>445</v>
      </c>
      <c r="E144" t="s">
        <v>446</v>
      </c>
      <c r="F144" t="s">
        <v>32</v>
      </c>
      <c r="G144" s="1">
        <v>12668</v>
      </c>
      <c r="H144" s="1">
        <v>12315</v>
      </c>
      <c r="I144" s="1">
        <v>11185</v>
      </c>
      <c r="J144" s="1">
        <v>10241</v>
      </c>
      <c r="K144" s="1">
        <v>10377</v>
      </c>
      <c r="L144" s="1">
        <v>9598</v>
      </c>
      <c r="M144" s="1">
        <v>7635</v>
      </c>
      <c r="N144" s="1">
        <v>6663</v>
      </c>
      <c r="O144" s="2">
        <v>21</v>
      </c>
      <c r="P144" s="3">
        <v>603.23810000000003</v>
      </c>
      <c r="Q144" s="3">
        <v>1.0125</v>
      </c>
      <c r="R144">
        <v>0</v>
      </c>
    </row>
    <row r="145" spans="2:18" x14ac:dyDescent="0.35">
      <c r="B145">
        <v>49</v>
      </c>
      <c r="C145" t="s">
        <v>447</v>
      </c>
      <c r="D145" t="s">
        <v>448</v>
      </c>
      <c r="E145" t="s">
        <v>449</v>
      </c>
      <c r="F145" t="s">
        <v>20</v>
      </c>
      <c r="G145" s="1">
        <v>30547580</v>
      </c>
      <c r="H145" s="1">
        <v>29348627</v>
      </c>
      <c r="I145" s="1">
        <v>27610325</v>
      </c>
      <c r="J145" s="1">
        <v>27161567</v>
      </c>
      <c r="K145" s="1">
        <v>24559500</v>
      </c>
      <c r="L145" s="1">
        <v>19616530</v>
      </c>
      <c r="M145" s="1">
        <v>15600442</v>
      </c>
      <c r="N145" s="1">
        <v>12501285</v>
      </c>
      <c r="O145" s="2">
        <v>147181</v>
      </c>
      <c r="P145" s="3">
        <v>207.55109999999999</v>
      </c>
      <c r="Q145" s="3">
        <v>1.0170999999999999</v>
      </c>
      <c r="R145">
        <v>0.38</v>
      </c>
    </row>
    <row r="146" spans="2:18" x14ac:dyDescent="0.35">
      <c r="B146">
        <v>71</v>
      </c>
      <c r="C146" t="s">
        <v>450</v>
      </c>
      <c r="D146" t="s">
        <v>451</v>
      </c>
      <c r="E146" t="s">
        <v>452</v>
      </c>
      <c r="F146" t="s">
        <v>24</v>
      </c>
      <c r="G146" s="1">
        <v>17564014</v>
      </c>
      <c r="H146" s="1">
        <v>17434557</v>
      </c>
      <c r="I146" s="1">
        <v>17041107</v>
      </c>
      <c r="J146" s="1">
        <v>16617116</v>
      </c>
      <c r="K146" s="1">
        <v>15899135</v>
      </c>
      <c r="L146" s="1">
        <v>14944548</v>
      </c>
      <c r="M146" s="1">
        <v>14130387</v>
      </c>
      <c r="N146" s="1">
        <v>13037686</v>
      </c>
      <c r="O146" s="2">
        <v>41850</v>
      </c>
      <c r="P146" s="3">
        <v>419.68970000000002</v>
      </c>
      <c r="Q146" s="3">
        <v>1.0036</v>
      </c>
      <c r="R146">
        <v>0.22</v>
      </c>
    </row>
    <row r="147" spans="2:18" x14ac:dyDescent="0.35">
      <c r="B147">
        <v>185</v>
      </c>
      <c r="C147" t="s">
        <v>453</v>
      </c>
      <c r="D147" t="s">
        <v>454</v>
      </c>
      <c r="E147" t="s">
        <v>455</v>
      </c>
      <c r="F147" t="s">
        <v>32</v>
      </c>
      <c r="G147" s="1">
        <v>289950</v>
      </c>
      <c r="H147" s="1">
        <v>286403</v>
      </c>
      <c r="I147" s="1">
        <v>283032</v>
      </c>
      <c r="J147" s="1">
        <v>261426</v>
      </c>
      <c r="K147" s="1">
        <v>221537</v>
      </c>
      <c r="L147" s="1">
        <v>177264</v>
      </c>
      <c r="M147" s="1">
        <v>148599</v>
      </c>
      <c r="N147" s="1">
        <v>110982</v>
      </c>
      <c r="O147" s="2">
        <v>18575</v>
      </c>
      <c r="P147" s="3">
        <v>15.6097</v>
      </c>
      <c r="Q147" s="3">
        <v>1.0075000000000001</v>
      </c>
      <c r="R147">
        <v>0</v>
      </c>
    </row>
    <row r="148" spans="2:18" x14ac:dyDescent="0.35">
      <c r="B148">
        <v>123</v>
      </c>
      <c r="C148" t="s">
        <v>456</v>
      </c>
      <c r="D148" t="s">
        <v>457</v>
      </c>
      <c r="E148" t="s">
        <v>458</v>
      </c>
      <c r="F148" t="s">
        <v>32</v>
      </c>
      <c r="G148" s="1">
        <v>5185288</v>
      </c>
      <c r="H148" s="1">
        <v>5061133</v>
      </c>
      <c r="I148" s="1">
        <v>4590590</v>
      </c>
      <c r="J148" s="1">
        <v>4346338</v>
      </c>
      <c r="K148" s="1">
        <v>3855266</v>
      </c>
      <c r="L148" s="1">
        <v>3397389</v>
      </c>
      <c r="M148" s="1">
        <v>3147168</v>
      </c>
      <c r="N148" s="1">
        <v>2824061</v>
      </c>
      <c r="O148" s="2">
        <v>270467</v>
      </c>
      <c r="P148" s="3">
        <v>19.171600000000002</v>
      </c>
      <c r="Q148" s="3">
        <v>1.0107999999999999</v>
      </c>
      <c r="R148">
        <v>7.0000000000000007E-2</v>
      </c>
    </row>
    <row r="149" spans="2:18" x14ac:dyDescent="0.35">
      <c r="B149">
        <v>106</v>
      </c>
      <c r="C149" t="s">
        <v>459</v>
      </c>
      <c r="D149" t="s">
        <v>460</v>
      </c>
      <c r="E149" t="s">
        <v>461</v>
      </c>
      <c r="F149" t="s">
        <v>42</v>
      </c>
      <c r="G149" s="1">
        <v>6948392</v>
      </c>
      <c r="H149" s="1">
        <v>6755895</v>
      </c>
      <c r="I149" s="1">
        <v>6298598</v>
      </c>
      <c r="J149" s="1">
        <v>5855734</v>
      </c>
      <c r="K149" s="1">
        <v>5123222</v>
      </c>
      <c r="L149" s="1">
        <v>4227820</v>
      </c>
      <c r="M149" s="1">
        <v>3303309</v>
      </c>
      <c r="N149" s="1">
        <v>2444767</v>
      </c>
      <c r="O149" s="2">
        <v>130373</v>
      </c>
      <c r="P149" s="3">
        <v>53.296199999999999</v>
      </c>
      <c r="Q149" s="3">
        <v>1.0143</v>
      </c>
      <c r="R149">
        <v>0.09</v>
      </c>
    </row>
    <row r="150" spans="2:18" x14ac:dyDescent="0.35">
      <c r="B150">
        <v>54</v>
      </c>
      <c r="C150" t="s">
        <v>462</v>
      </c>
      <c r="D150" t="s">
        <v>463</v>
      </c>
      <c r="E150" t="s">
        <v>464</v>
      </c>
      <c r="F150" t="s">
        <v>28</v>
      </c>
      <c r="G150" s="1">
        <v>26207977</v>
      </c>
      <c r="H150" s="1">
        <v>24333639</v>
      </c>
      <c r="I150" s="1">
        <v>20128124</v>
      </c>
      <c r="J150" s="1">
        <v>16647543</v>
      </c>
      <c r="K150" s="1">
        <v>11622665</v>
      </c>
      <c r="L150" s="1">
        <v>8370647</v>
      </c>
      <c r="M150" s="1">
        <v>6173177</v>
      </c>
      <c r="N150" s="1">
        <v>4669708</v>
      </c>
      <c r="O150" s="2">
        <v>1267000</v>
      </c>
      <c r="P150" s="3">
        <v>20.685099999999998</v>
      </c>
      <c r="Q150" s="3">
        <v>1.0378000000000001</v>
      </c>
      <c r="R150">
        <v>0.33</v>
      </c>
    </row>
    <row r="151" spans="2:18" x14ac:dyDescent="0.35">
      <c r="B151">
        <v>6</v>
      </c>
      <c r="C151" t="s">
        <v>465</v>
      </c>
      <c r="D151" t="s">
        <v>466</v>
      </c>
      <c r="E151" t="s">
        <v>467</v>
      </c>
      <c r="F151" t="s">
        <v>28</v>
      </c>
      <c r="G151" s="1">
        <v>218541212</v>
      </c>
      <c r="H151" s="1">
        <v>208327405</v>
      </c>
      <c r="I151" s="1">
        <v>183995785</v>
      </c>
      <c r="J151" s="1">
        <v>160952853</v>
      </c>
      <c r="K151" s="1">
        <v>122851984</v>
      </c>
      <c r="L151" s="1">
        <v>95214257</v>
      </c>
      <c r="M151" s="1">
        <v>72951439</v>
      </c>
      <c r="N151" s="1">
        <v>55569264</v>
      </c>
      <c r="O151" s="2">
        <v>923768</v>
      </c>
      <c r="P151" s="3">
        <v>236.57589999999999</v>
      </c>
      <c r="Q151" s="3">
        <v>1.0241</v>
      </c>
      <c r="R151">
        <v>2.74</v>
      </c>
    </row>
    <row r="152" spans="2:18" x14ac:dyDescent="0.35">
      <c r="B152">
        <v>232</v>
      </c>
      <c r="C152" t="s">
        <v>468</v>
      </c>
      <c r="D152" t="s">
        <v>469</v>
      </c>
      <c r="E152" t="s">
        <v>470</v>
      </c>
      <c r="F152" t="s">
        <v>32</v>
      </c>
      <c r="G152" s="1">
        <v>1934</v>
      </c>
      <c r="H152" s="1">
        <v>1942</v>
      </c>
      <c r="I152" s="1">
        <v>1847</v>
      </c>
      <c r="J152" s="1">
        <v>1812</v>
      </c>
      <c r="K152" s="1">
        <v>2074</v>
      </c>
      <c r="L152" s="1">
        <v>2533</v>
      </c>
      <c r="M152" s="1">
        <v>3637</v>
      </c>
      <c r="N152" s="1">
        <v>5185</v>
      </c>
      <c r="O152" s="2">
        <v>260</v>
      </c>
      <c r="P152" s="3">
        <v>7.4385000000000003</v>
      </c>
      <c r="Q152" s="3">
        <v>0.99850000000000005</v>
      </c>
      <c r="R152">
        <v>0</v>
      </c>
    </row>
    <row r="153" spans="2:18" x14ac:dyDescent="0.35">
      <c r="B153">
        <v>56</v>
      </c>
      <c r="C153" t="s">
        <v>471</v>
      </c>
      <c r="D153" t="s">
        <v>472</v>
      </c>
      <c r="E153" t="s">
        <v>473</v>
      </c>
      <c r="F153" t="s">
        <v>20</v>
      </c>
      <c r="G153" s="1">
        <v>26069416</v>
      </c>
      <c r="H153" s="1">
        <v>25867467</v>
      </c>
      <c r="I153" s="1">
        <v>25258015</v>
      </c>
      <c r="J153" s="1">
        <v>24686435</v>
      </c>
      <c r="K153" s="1">
        <v>23367059</v>
      </c>
      <c r="L153" s="1">
        <v>20799523</v>
      </c>
      <c r="M153" s="1">
        <v>17973650</v>
      </c>
      <c r="N153" s="1">
        <v>14996879</v>
      </c>
      <c r="O153" s="2">
        <v>120538</v>
      </c>
      <c r="P153" s="3">
        <v>216.27549999999999</v>
      </c>
      <c r="Q153" s="3">
        <v>1.0038</v>
      </c>
      <c r="R153">
        <v>0.33</v>
      </c>
    </row>
    <row r="154" spans="2:18" x14ac:dyDescent="0.35">
      <c r="B154">
        <v>150</v>
      </c>
      <c r="C154" t="s">
        <v>474</v>
      </c>
      <c r="D154" t="s">
        <v>475</v>
      </c>
      <c r="E154" t="s">
        <v>476</v>
      </c>
      <c r="F154" t="s">
        <v>24</v>
      </c>
      <c r="G154" s="1">
        <v>2093599</v>
      </c>
      <c r="H154" s="1">
        <v>2111072</v>
      </c>
      <c r="I154" s="1">
        <v>2107962</v>
      </c>
      <c r="J154" s="1">
        <v>2093828</v>
      </c>
      <c r="K154" s="1">
        <v>2037936</v>
      </c>
      <c r="L154" s="1">
        <v>2044174</v>
      </c>
      <c r="M154" s="1">
        <v>1907023</v>
      </c>
      <c r="N154" s="1">
        <v>1656783</v>
      </c>
      <c r="O154" s="2">
        <v>25713</v>
      </c>
      <c r="P154" s="3">
        <v>81.421800000000005</v>
      </c>
      <c r="Q154" s="3">
        <v>0.99539999999999995</v>
      </c>
      <c r="R154">
        <v>0.03</v>
      </c>
    </row>
    <row r="155" spans="2:18" x14ac:dyDescent="0.35">
      <c r="B155">
        <v>210</v>
      </c>
      <c r="C155" t="s">
        <v>477</v>
      </c>
      <c r="D155" t="s">
        <v>478</v>
      </c>
      <c r="E155" t="s">
        <v>479</v>
      </c>
      <c r="F155" t="s">
        <v>32</v>
      </c>
      <c r="G155" s="1">
        <v>49551</v>
      </c>
      <c r="H155" s="1">
        <v>49587</v>
      </c>
      <c r="I155" s="1">
        <v>51514</v>
      </c>
      <c r="J155" s="1">
        <v>54087</v>
      </c>
      <c r="K155" s="1">
        <v>80338</v>
      </c>
      <c r="L155" s="1">
        <v>48002</v>
      </c>
      <c r="M155" s="1">
        <v>17613</v>
      </c>
      <c r="N155" s="1">
        <v>10143</v>
      </c>
      <c r="O155" s="2">
        <v>464</v>
      </c>
      <c r="P155" s="3">
        <v>106.79089999999999</v>
      </c>
      <c r="Q155" s="3">
        <v>1.0014000000000001</v>
      </c>
      <c r="R155">
        <v>0</v>
      </c>
    </row>
    <row r="156" spans="2:18" x14ac:dyDescent="0.35">
      <c r="B156">
        <v>120</v>
      </c>
      <c r="C156" t="s">
        <v>480</v>
      </c>
      <c r="D156" t="s">
        <v>481</v>
      </c>
      <c r="E156" t="s">
        <v>482</v>
      </c>
      <c r="F156" t="s">
        <v>24</v>
      </c>
      <c r="G156" s="1">
        <v>5434319</v>
      </c>
      <c r="H156" s="1">
        <v>5379839</v>
      </c>
      <c r="I156" s="1">
        <v>5190356</v>
      </c>
      <c r="J156" s="1">
        <v>4889741</v>
      </c>
      <c r="K156" s="1">
        <v>4491202</v>
      </c>
      <c r="L156" s="1">
        <v>4241636</v>
      </c>
      <c r="M156" s="1">
        <v>4085776</v>
      </c>
      <c r="N156" s="1">
        <v>3875546</v>
      </c>
      <c r="O156" s="2">
        <v>323802</v>
      </c>
      <c r="P156" s="3">
        <v>16.782800000000002</v>
      </c>
      <c r="Q156" s="3">
        <v>1.0058</v>
      </c>
      <c r="R156">
        <v>7.0000000000000007E-2</v>
      </c>
    </row>
    <row r="157" spans="2:18" x14ac:dyDescent="0.35">
      <c r="B157">
        <v>127</v>
      </c>
      <c r="C157" t="s">
        <v>483</v>
      </c>
      <c r="D157" t="s">
        <v>484</v>
      </c>
      <c r="E157" t="s">
        <v>485</v>
      </c>
      <c r="F157" t="s">
        <v>20</v>
      </c>
      <c r="G157" s="1">
        <v>4576298</v>
      </c>
      <c r="H157" s="1">
        <v>4543399</v>
      </c>
      <c r="I157" s="1">
        <v>4191776</v>
      </c>
      <c r="J157" s="1">
        <v>2881914</v>
      </c>
      <c r="K157" s="1">
        <v>2344253</v>
      </c>
      <c r="L157" s="1">
        <v>1804524</v>
      </c>
      <c r="M157" s="1">
        <v>1017462</v>
      </c>
      <c r="N157" s="1">
        <v>670693</v>
      </c>
      <c r="O157" s="2">
        <v>309500</v>
      </c>
      <c r="P157" s="3">
        <v>14.786099999999999</v>
      </c>
      <c r="Q157" s="3">
        <v>1.0123</v>
      </c>
      <c r="R157">
        <v>0.06</v>
      </c>
    </row>
    <row r="158" spans="2:18" x14ac:dyDescent="0.35">
      <c r="B158">
        <v>5</v>
      </c>
      <c r="C158" t="s">
        <v>486</v>
      </c>
      <c r="D158" t="s">
        <v>487</v>
      </c>
      <c r="E158" t="s">
        <v>488</v>
      </c>
      <c r="F158" t="s">
        <v>20</v>
      </c>
      <c r="G158" s="1">
        <v>235824862</v>
      </c>
      <c r="H158" s="1">
        <v>227196741</v>
      </c>
      <c r="I158" s="1">
        <v>210969298</v>
      </c>
      <c r="J158" s="1">
        <v>194454498</v>
      </c>
      <c r="K158" s="1">
        <v>154369924</v>
      </c>
      <c r="L158" s="1">
        <v>115414069</v>
      </c>
      <c r="M158" s="1">
        <v>80624057</v>
      </c>
      <c r="N158" s="1">
        <v>59290872</v>
      </c>
      <c r="O158" s="2">
        <v>881912</v>
      </c>
      <c r="P158" s="3">
        <v>267.40179999999998</v>
      </c>
      <c r="Q158" s="3">
        <v>1.0190999999999999</v>
      </c>
      <c r="R158">
        <v>2.96</v>
      </c>
    </row>
    <row r="159" spans="2:18" x14ac:dyDescent="0.35">
      <c r="B159">
        <v>222</v>
      </c>
      <c r="C159" t="s">
        <v>489</v>
      </c>
      <c r="D159" t="s">
        <v>490</v>
      </c>
      <c r="E159" t="s">
        <v>491</v>
      </c>
      <c r="F159" t="s">
        <v>32</v>
      </c>
      <c r="G159" s="1">
        <v>18055</v>
      </c>
      <c r="H159" s="1">
        <v>17972</v>
      </c>
      <c r="I159" s="1">
        <v>17794</v>
      </c>
      <c r="J159" s="1">
        <v>18540</v>
      </c>
      <c r="K159" s="1">
        <v>19726</v>
      </c>
      <c r="L159" s="1">
        <v>15293</v>
      </c>
      <c r="M159" s="1">
        <v>12252</v>
      </c>
      <c r="N159" s="1">
        <v>11366</v>
      </c>
      <c r="O159" s="2">
        <v>459</v>
      </c>
      <c r="P159" s="3">
        <v>39.335500000000003</v>
      </c>
      <c r="Q159" s="3">
        <v>1.0017</v>
      </c>
      <c r="R159">
        <v>0</v>
      </c>
    </row>
    <row r="160" spans="2:18" x14ac:dyDescent="0.35">
      <c r="B160">
        <v>122</v>
      </c>
      <c r="C160" t="s">
        <v>492</v>
      </c>
      <c r="D160" t="s">
        <v>493</v>
      </c>
      <c r="E160" t="s">
        <v>494</v>
      </c>
      <c r="F160" t="s">
        <v>20</v>
      </c>
      <c r="G160" s="1">
        <v>5250072</v>
      </c>
      <c r="H160" s="1">
        <v>5019401</v>
      </c>
      <c r="I160" s="1">
        <v>4484614</v>
      </c>
      <c r="J160" s="1">
        <v>3992278</v>
      </c>
      <c r="K160" s="1">
        <v>3139954</v>
      </c>
      <c r="L160" s="1">
        <v>2124609</v>
      </c>
      <c r="M160" s="1">
        <v>1453620</v>
      </c>
      <c r="N160" s="1">
        <v>1118241</v>
      </c>
      <c r="O160" s="2">
        <v>6220</v>
      </c>
      <c r="P160" s="3">
        <v>844.06299999999999</v>
      </c>
      <c r="Q160" s="3">
        <v>1.0226999999999999</v>
      </c>
      <c r="R160">
        <v>7.0000000000000007E-2</v>
      </c>
    </row>
    <row r="161" spans="2:18" x14ac:dyDescent="0.35">
      <c r="B161">
        <v>128</v>
      </c>
      <c r="C161" t="s">
        <v>495</v>
      </c>
      <c r="D161" t="s">
        <v>496</v>
      </c>
      <c r="E161" t="s">
        <v>497</v>
      </c>
      <c r="F161" t="s">
        <v>42</v>
      </c>
      <c r="G161" s="1">
        <v>4408581</v>
      </c>
      <c r="H161" s="1">
        <v>4294396</v>
      </c>
      <c r="I161" s="1">
        <v>3957099</v>
      </c>
      <c r="J161" s="1">
        <v>3623617</v>
      </c>
      <c r="K161" s="1">
        <v>3001731</v>
      </c>
      <c r="L161" s="1">
        <v>2449968</v>
      </c>
      <c r="M161" s="1">
        <v>1956987</v>
      </c>
      <c r="N161" s="1">
        <v>1516188</v>
      </c>
      <c r="O161" s="2">
        <v>75417</v>
      </c>
      <c r="P161" s="3">
        <v>58.456099999999999</v>
      </c>
      <c r="Q161" s="3">
        <v>1.0132000000000001</v>
      </c>
      <c r="R161">
        <v>0.06</v>
      </c>
    </row>
    <row r="162" spans="2:18" x14ac:dyDescent="0.35">
      <c r="B162">
        <v>93</v>
      </c>
      <c r="C162" t="s">
        <v>498</v>
      </c>
      <c r="D162" t="s">
        <v>499</v>
      </c>
      <c r="E162" t="s">
        <v>500</v>
      </c>
      <c r="F162" t="s">
        <v>32</v>
      </c>
      <c r="G162" s="1">
        <v>10142619</v>
      </c>
      <c r="H162" s="1">
        <v>9749640</v>
      </c>
      <c r="I162" s="1">
        <v>8682174</v>
      </c>
      <c r="J162" s="1">
        <v>7583269</v>
      </c>
      <c r="K162" s="1">
        <v>5508297</v>
      </c>
      <c r="L162" s="1">
        <v>3864972</v>
      </c>
      <c r="M162" s="1">
        <v>3104788</v>
      </c>
      <c r="N162" s="1">
        <v>2489059</v>
      </c>
      <c r="O162" s="2">
        <v>462840</v>
      </c>
      <c r="P162" s="3">
        <v>21.913900000000002</v>
      </c>
      <c r="Q162" s="3">
        <v>1.0194000000000001</v>
      </c>
      <c r="R162">
        <v>0.13</v>
      </c>
    </row>
    <row r="163" spans="2:18" x14ac:dyDescent="0.35">
      <c r="B163">
        <v>109</v>
      </c>
      <c r="C163" t="s">
        <v>501</v>
      </c>
      <c r="D163" t="s">
        <v>502</v>
      </c>
      <c r="E163" t="s">
        <v>503</v>
      </c>
      <c r="F163" t="s">
        <v>49</v>
      </c>
      <c r="G163" s="1">
        <v>6780744</v>
      </c>
      <c r="H163" s="1">
        <v>6618695</v>
      </c>
      <c r="I163" s="1">
        <v>6177950</v>
      </c>
      <c r="J163" s="1">
        <v>5768613</v>
      </c>
      <c r="K163" s="1">
        <v>5123819</v>
      </c>
      <c r="L163" s="1">
        <v>4059195</v>
      </c>
      <c r="M163" s="1">
        <v>3078912</v>
      </c>
      <c r="N163" s="1">
        <v>2408787</v>
      </c>
      <c r="O163" s="2">
        <v>406752</v>
      </c>
      <c r="P163" s="3">
        <v>16.670500000000001</v>
      </c>
      <c r="Q163" s="3">
        <v>1.0115000000000001</v>
      </c>
      <c r="R163">
        <v>0.09</v>
      </c>
    </row>
    <row r="164" spans="2:18" x14ac:dyDescent="0.35">
      <c r="B164">
        <v>44</v>
      </c>
      <c r="C164" t="s">
        <v>504</v>
      </c>
      <c r="D164" t="s">
        <v>505</v>
      </c>
      <c r="E164" t="s">
        <v>506</v>
      </c>
      <c r="F164" t="s">
        <v>49</v>
      </c>
      <c r="G164" s="1">
        <v>34049588</v>
      </c>
      <c r="H164" s="1">
        <v>33304756</v>
      </c>
      <c r="I164" s="1">
        <v>30711863</v>
      </c>
      <c r="J164" s="1">
        <v>29229572</v>
      </c>
      <c r="K164" s="1">
        <v>26654439</v>
      </c>
      <c r="L164" s="1">
        <v>22109099</v>
      </c>
      <c r="M164" s="1">
        <v>17492406</v>
      </c>
      <c r="N164" s="1">
        <v>13562371</v>
      </c>
      <c r="O164" s="2">
        <v>1285216</v>
      </c>
      <c r="P164" s="3">
        <v>26.493300000000001</v>
      </c>
      <c r="Q164" s="3">
        <v>1.0099</v>
      </c>
      <c r="R164">
        <v>0.43</v>
      </c>
    </row>
    <row r="165" spans="2:18" x14ac:dyDescent="0.35">
      <c r="B165">
        <v>13</v>
      </c>
      <c r="C165" t="s">
        <v>507</v>
      </c>
      <c r="D165" t="s">
        <v>508</v>
      </c>
      <c r="E165" t="s">
        <v>509</v>
      </c>
      <c r="F165" t="s">
        <v>20</v>
      </c>
      <c r="G165" s="1">
        <v>115559009</v>
      </c>
      <c r="H165" s="1">
        <v>112190977</v>
      </c>
      <c r="I165" s="1">
        <v>103031365</v>
      </c>
      <c r="J165" s="1">
        <v>94636700</v>
      </c>
      <c r="K165" s="1">
        <v>77958223</v>
      </c>
      <c r="L165" s="1">
        <v>61558898</v>
      </c>
      <c r="M165" s="1">
        <v>48419546</v>
      </c>
      <c r="N165" s="1">
        <v>37435586</v>
      </c>
      <c r="O165" s="2">
        <v>342353</v>
      </c>
      <c r="P165" s="3">
        <v>337.54340000000002</v>
      </c>
      <c r="Q165" s="3">
        <v>1.0146999999999999</v>
      </c>
      <c r="R165">
        <v>1.45</v>
      </c>
    </row>
    <row r="166" spans="2:18" x14ac:dyDescent="0.35">
      <c r="B166">
        <v>37</v>
      </c>
      <c r="C166" t="s">
        <v>510</v>
      </c>
      <c r="D166" t="s">
        <v>511</v>
      </c>
      <c r="E166" t="s">
        <v>512</v>
      </c>
      <c r="F166" t="s">
        <v>24</v>
      </c>
      <c r="G166" s="1">
        <v>39857145</v>
      </c>
      <c r="H166" s="1">
        <v>38428366</v>
      </c>
      <c r="I166" s="1">
        <v>38553146</v>
      </c>
      <c r="J166" s="1">
        <v>38597353</v>
      </c>
      <c r="K166" s="1">
        <v>38504431</v>
      </c>
      <c r="L166" s="1">
        <v>38064255</v>
      </c>
      <c r="M166" s="1">
        <v>35521429</v>
      </c>
      <c r="N166" s="1">
        <v>32482943</v>
      </c>
      <c r="O166" s="2">
        <v>312679</v>
      </c>
      <c r="P166" s="3">
        <v>127.46980000000001</v>
      </c>
      <c r="Q166" s="3">
        <v>1.0404</v>
      </c>
      <c r="R166">
        <v>0.5</v>
      </c>
    </row>
    <row r="167" spans="2:18" x14ac:dyDescent="0.35">
      <c r="B167">
        <v>92</v>
      </c>
      <c r="C167" t="s">
        <v>513</v>
      </c>
      <c r="D167" t="s">
        <v>514</v>
      </c>
      <c r="E167" t="s">
        <v>515</v>
      </c>
      <c r="F167" t="s">
        <v>24</v>
      </c>
      <c r="G167" s="1">
        <v>10270865</v>
      </c>
      <c r="H167" s="1">
        <v>10298192</v>
      </c>
      <c r="I167" s="1">
        <v>10365435</v>
      </c>
      <c r="J167" s="1">
        <v>10588401</v>
      </c>
      <c r="K167" s="1">
        <v>10300626</v>
      </c>
      <c r="L167" s="1">
        <v>10007346</v>
      </c>
      <c r="M167" s="1">
        <v>9785252</v>
      </c>
      <c r="N167" s="1">
        <v>8683631</v>
      </c>
      <c r="O167" s="2">
        <v>92090</v>
      </c>
      <c r="P167" s="3">
        <v>111.5307</v>
      </c>
      <c r="Q167" s="3">
        <v>0.99809999999999999</v>
      </c>
      <c r="R167">
        <v>0.13</v>
      </c>
    </row>
    <row r="168" spans="2:18" x14ac:dyDescent="0.35">
      <c r="B168">
        <v>136</v>
      </c>
      <c r="C168" t="s">
        <v>516</v>
      </c>
      <c r="D168" t="s">
        <v>517</v>
      </c>
      <c r="E168" t="s">
        <v>518</v>
      </c>
      <c r="F168" t="s">
        <v>42</v>
      </c>
      <c r="G168" s="1">
        <v>3252407</v>
      </c>
      <c r="H168" s="1">
        <v>3271564</v>
      </c>
      <c r="I168" s="1">
        <v>3497335</v>
      </c>
      <c r="J168" s="1">
        <v>3717922</v>
      </c>
      <c r="K168" s="1">
        <v>3827108</v>
      </c>
      <c r="L168" s="1">
        <v>3543776</v>
      </c>
      <c r="M168" s="1">
        <v>3214568</v>
      </c>
      <c r="N168" s="1">
        <v>2737619</v>
      </c>
      <c r="O168" s="2">
        <v>8870</v>
      </c>
      <c r="P168" s="3">
        <v>366.67500000000001</v>
      </c>
      <c r="Q168" s="3">
        <v>0.99890000000000001</v>
      </c>
      <c r="R168">
        <v>0.04</v>
      </c>
    </row>
    <row r="169" spans="2:18" x14ac:dyDescent="0.35">
      <c r="B169">
        <v>143</v>
      </c>
      <c r="C169" t="s">
        <v>519</v>
      </c>
      <c r="D169" t="s">
        <v>520</v>
      </c>
      <c r="E169" t="s">
        <v>521</v>
      </c>
      <c r="F169" t="s">
        <v>20</v>
      </c>
      <c r="G169" s="1">
        <v>2695122</v>
      </c>
      <c r="H169" s="1">
        <v>2760385</v>
      </c>
      <c r="I169" s="1">
        <v>2414573</v>
      </c>
      <c r="J169" s="1">
        <v>1713504</v>
      </c>
      <c r="K169" s="1">
        <v>645937</v>
      </c>
      <c r="L169" s="1">
        <v>441675</v>
      </c>
      <c r="M169" s="1">
        <v>277450</v>
      </c>
      <c r="N169" s="1">
        <v>118007</v>
      </c>
      <c r="O169" s="2">
        <v>11586</v>
      </c>
      <c r="P169" s="3">
        <v>232.6189</v>
      </c>
      <c r="Q169" s="3">
        <v>1.0025999999999999</v>
      </c>
      <c r="R169">
        <v>0.03</v>
      </c>
    </row>
    <row r="170" spans="2:18" x14ac:dyDescent="0.35">
      <c r="B170">
        <v>114</v>
      </c>
      <c r="C170" t="s">
        <v>522</v>
      </c>
      <c r="D170" t="s">
        <v>523</v>
      </c>
      <c r="E170" t="s">
        <v>524</v>
      </c>
      <c r="F170" t="s">
        <v>28</v>
      </c>
      <c r="G170" s="1">
        <v>5970424</v>
      </c>
      <c r="H170" s="1">
        <v>5702174</v>
      </c>
      <c r="I170" s="1">
        <v>5064386</v>
      </c>
      <c r="J170" s="1">
        <v>4437884</v>
      </c>
      <c r="K170" s="1">
        <v>3134030</v>
      </c>
      <c r="L170" s="1">
        <v>2385435</v>
      </c>
      <c r="M170" s="1">
        <v>1829256</v>
      </c>
      <c r="N170" s="1">
        <v>1396989</v>
      </c>
      <c r="O170" s="2">
        <v>342000</v>
      </c>
      <c r="P170" s="3">
        <v>17.4574</v>
      </c>
      <c r="Q170" s="3">
        <v>1.0230999999999999</v>
      </c>
      <c r="R170">
        <v>7.0000000000000007E-2</v>
      </c>
    </row>
    <row r="171" spans="2:18" x14ac:dyDescent="0.35">
      <c r="B171">
        <v>161</v>
      </c>
      <c r="C171" t="s">
        <v>525</v>
      </c>
      <c r="D171" t="s">
        <v>526</v>
      </c>
      <c r="E171" t="s">
        <v>527</v>
      </c>
      <c r="F171" t="s">
        <v>28</v>
      </c>
      <c r="G171" s="1">
        <v>974052</v>
      </c>
      <c r="H171" s="1">
        <v>957822</v>
      </c>
      <c r="I171" s="1">
        <v>922495</v>
      </c>
      <c r="J171" s="1">
        <v>890130</v>
      </c>
      <c r="K171" s="1">
        <v>785424</v>
      </c>
      <c r="L171" s="1">
        <v>658992</v>
      </c>
      <c r="M171" s="1">
        <v>551674</v>
      </c>
      <c r="N171" s="1">
        <v>473925</v>
      </c>
      <c r="O171" s="2">
        <v>2511</v>
      </c>
      <c r="P171" s="3">
        <v>387.91399999999999</v>
      </c>
      <c r="Q171" s="3">
        <v>1.0082</v>
      </c>
      <c r="R171">
        <v>0.01</v>
      </c>
    </row>
    <row r="172" spans="2:18" x14ac:dyDescent="0.35">
      <c r="B172">
        <v>64</v>
      </c>
      <c r="C172" t="s">
        <v>528</v>
      </c>
      <c r="D172" t="s">
        <v>529</v>
      </c>
      <c r="E172" t="s">
        <v>530</v>
      </c>
      <c r="F172" t="s">
        <v>24</v>
      </c>
      <c r="G172" s="1">
        <v>19659267</v>
      </c>
      <c r="H172" s="1">
        <v>19442038</v>
      </c>
      <c r="I172" s="1">
        <v>19906079</v>
      </c>
      <c r="J172" s="1">
        <v>20335211</v>
      </c>
      <c r="K172" s="1">
        <v>21919876</v>
      </c>
      <c r="L172" s="1">
        <v>22836234</v>
      </c>
      <c r="M172" s="1">
        <v>22125224</v>
      </c>
      <c r="N172" s="1">
        <v>19922618</v>
      </c>
      <c r="O172" s="2">
        <v>238391</v>
      </c>
      <c r="P172" s="3">
        <v>82.466499999999996</v>
      </c>
      <c r="Q172" s="3">
        <v>1.0170999999999999</v>
      </c>
      <c r="R172">
        <v>0.25</v>
      </c>
    </row>
    <row r="173" spans="2:18" x14ac:dyDescent="0.35">
      <c r="B173">
        <v>9</v>
      </c>
      <c r="C173" t="s">
        <v>531</v>
      </c>
      <c r="D173" t="s">
        <v>532</v>
      </c>
      <c r="E173" t="s">
        <v>533</v>
      </c>
      <c r="F173" t="s">
        <v>24</v>
      </c>
      <c r="G173" s="1">
        <v>144713314</v>
      </c>
      <c r="H173" s="1">
        <v>145617329</v>
      </c>
      <c r="I173" s="1">
        <v>144668389</v>
      </c>
      <c r="J173" s="1">
        <v>143242599</v>
      </c>
      <c r="K173" s="1">
        <v>146844839</v>
      </c>
      <c r="L173" s="1">
        <v>148005704</v>
      </c>
      <c r="M173" s="1">
        <v>138257420</v>
      </c>
      <c r="N173" s="1">
        <v>130093010</v>
      </c>
      <c r="O173" s="2">
        <v>17098242</v>
      </c>
      <c r="P173" s="3">
        <v>8.4635999999999996</v>
      </c>
      <c r="Q173" s="3">
        <v>0.99729999999999996</v>
      </c>
      <c r="R173">
        <v>1.81</v>
      </c>
    </row>
    <row r="174" spans="2:18" x14ac:dyDescent="0.35">
      <c r="B174">
        <v>76</v>
      </c>
      <c r="C174" t="s">
        <v>534</v>
      </c>
      <c r="D174" t="s">
        <v>535</v>
      </c>
      <c r="E174" t="s">
        <v>536</v>
      </c>
      <c r="F174" t="s">
        <v>28</v>
      </c>
      <c r="G174" s="1">
        <v>13776698</v>
      </c>
      <c r="H174" s="1">
        <v>13146362</v>
      </c>
      <c r="I174" s="1">
        <v>11642959</v>
      </c>
      <c r="J174" s="1">
        <v>10309031</v>
      </c>
      <c r="K174" s="1">
        <v>8109989</v>
      </c>
      <c r="L174" s="1">
        <v>7319962</v>
      </c>
      <c r="M174" s="1">
        <v>5247532</v>
      </c>
      <c r="N174" s="1">
        <v>3896367</v>
      </c>
      <c r="O174" s="2">
        <v>26338</v>
      </c>
      <c r="P174" s="3">
        <v>523.07309999999995</v>
      </c>
      <c r="Q174" s="3">
        <v>1.0234000000000001</v>
      </c>
      <c r="R174">
        <v>0.17</v>
      </c>
    </row>
    <row r="175" spans="2:18" x14ac:dyDescent="0.35">
      <c r="B175">
        <v>228</v>
      </c>
      <c r="C175" t="s">
        <v>537</v>
      </c>
      <c r="D175" t="s">
        <v>538</v>
      </c>
      <c r="E175" t="s">
        <v>539</v>
      </c>
      <c r="F175" t="s">
        <v>42</v>
      </c>
      <c r="G175" s="1">
        <v>10967</v>
      </c>
      <c r="H175" s="1">
        <v>10681</v>
      </c>
      <c r="I175" s="1">
        <v>9643</v>
      </c>
      <c r="J175" s="1">
        <v>8988</v>
      </c>
      <c r="K175" s="1">
        <v>7082</v>
      </c>
      <c r="L175" s="1">
        <v>5168</v>
      </c>
      <c r="M175" s="1">
        <v>2983</v>
      </c>
      <c r="N175" s="1">
        <v>2417</v>
      </c>
      <c r="O175" s="2">
        <v>21</v>
      </c>
      <c r="P175" s="3">
        <v>522.23810000000003</v>
      </c>
      <c r="Q175" s="3">
        <v>1.0098</v>
      </c>
      <c r="R175">
        <v>0</v>
      </c>
    </row>
    <row r="176" spans="2:18" x14ac:dyDescent="0.35">
      <c r="B176">
        <v>211</v>
      </c>
      <c r="C176" t="s">
        <v>540</v>
      </c>
      <c r="D176" t="s">
        <v>541</v>
      </c>
      <c r="E176" t="s">
        <v>542</v>
      </c>
      <c r="F176" t="s">
        <v>42</v>
      </c>
      <c r="G176" s="1">
        <v>47657</v>
      </c>
      <c r="H176" s="1">
        <v>47642</v>
      </c>
      <c r="I176" s="1">
        <v>47790</v>
      </c>
      <c r="J176" s="1">
        <v>47403</v>
      </c>
      <c r="K176" s="1">
        <v>45461</v>
      </c>
      <c r="L176" s="1">
        <v>40636</v>
      </c>
      <c r="M176" s="1">
        <v>43097</v>
      </c>
      <c r="N176" s="1">
        <v>44968</v>
      </c>
      <c r="O176" s="2">
        <v>261</v>
      </c>
      <c r="P176" s="3">
        <v>182.59389999999999</v>
      </c>
      <c r="Q176" s="3">
        <v>1.0011000000000001</v>
      </c>
      <c r="R176">
        <v>0</v>
      </c>
    </row>
    <row r="177" spans="2:18" x14ac:dyDescent="0.35">
      <c r="B177">
        <v>190</v>
      </c>
      <c r="C177" t="s">
        <v>543</v>
      </c>
      <c r="D177" t="s">
        <v>544</v>
      </c>
      <c r="E177" t="s">
        <v>545</v>
      </c>
      <c r="F177" t="s">
        <v>42</v>
      </c>
      <c r="G177" s="1">
        <v>179857</v>
      </c>
      <c r="H177" s="1">
        <v>179237</v>
      </c>
      <c r="I177" s="1">
        <v>175623</v>
      </c>
      <c r="J177" s="1">
        <v>170935</v>
      </c>
      <c r="K177" s="1">
        <v>159500</v>
      </c>
      <c r="L177" s="1">
        <v>142301</v>
      </c>
      <c r="M177" s="1">
        <v>121633</v>
      </c>
      <c r="N177" s="1">
        <v>103090</v>
      </c>
      <c r="O177" s="2">
        <v>616</v>
      </c>
      <c r="P177" s="3">
        <v>291.97559999999999</v>
      </c>
      <c r="Q177" s="3">
        <v>1.0011000000000001</v>
      </c>
      <c r="R177">
        <v>0</v>
      </c>
    </row>
    <row r="178" spans="2:18" x14ac:dyDescent="0.35">
      <c r="B178">
        <v>220</v>
      </c>
      <c r="C178" t="s">
        <v>546</v>
      </c>
      <c r="D178" t="s">
        <v>547</v>
      </c>
      <c r="E178" t="s">
        <v>548</v>
      </c>
      <c r="F178" t="s">
        <v>42</v>
      </c>
      <c r="G178" s="1">
        <v>31791</v>
      </c>
      <c r="H178" s="1">
        <v>32552</v>
      </c>
      <c r="I178" s="1">
        <v>35020</v>
      </c>
      <c r="J178" s="1">
        <v>36458</v>
      </c>
      <c r="K178" s="1">
        <v>29610</v>
      </c>
      <c r="L178" s="1">
        <v>28127</v>
      </c>
      <c r="M178" s="1">
        <v>7776</v>
      </c>
      <c r="N178" s="1">
        <v>5802</v>
      </c>
      <c r="O178" s="2">
        <v>53</v>
      </c>
      <c r="P178" s="3">
        <v>599.83019999999999</v>
      </c>
      <c r="Q178" s="3">
        <v>0.99509999999999998</v>
      </c>
      <c r="R178">
        <v>0</v>
      </c>
    </row>
    <row r="179" spans="2:18" x14ac:dyDescent="0.35">
      <c r="B179">
        <v>229</v>
      </c>
      <c r="C179" t="s">
        <v>549</v>
      </c>
      <c r="D179" t="s">
        <v>550</v>
      </c>
      <c r="E179" t="s">
        <v>551</v>
      </c>
      <c r="F179" t="s">
        <v>42</v>
      </c>
      <c r="G179" s="1">
        <v>5862</v>
      </c>
      <c r="H179" s="1">
        <v>5906</v>
      </c>
      <c r="I179" s="1">
        <v>5978</v>
      </c>
      <c r="J179" s="1">
        <v>6052</v>
      </c>
      <c r="K179" s="1">
        <v>6274</v>
      </c>
      <c r="L179" s="1">
        <v>6324</v>
      </c>
      <c r="M179" s="1">
        <v>6106</v>
      </c>
      <c r="N179" s="1">
        <v>5537</v>
      </c>
      <c r="O179" s="2">
        <v>242</v>
      </c>
      <c r="P179" s="3">
        <v>24.223099999999999</v>
      </c>
      <c r="Q179" s="3">
        <v>0.99639999999999995</v>
      </c>
      <c r="R179">
        <v>0</v>
      </c>
    </row>
    <row r="180" spans="2:18" x14ac:dyDescent="0.35">
      <c r="B180">
        <v>199</v>
      </c>
      <c r="C180" t="s">
        <v>552</v>
      </c>
      <c r="D180" t="s">
        <v>553</v>
      </c>
      <c r="E180" t="s">
        <v>554</v>
      </c>
      <c r="F180" t="s">
        <v>42</v>
      </c>
      <c r="G180" s="1">
        <v>103948</v>
      </c>
      <c r="H180" s="1">
        <v>104632</v>
      </c>
      <c r="I180" s="1">
        <v>106482</v>
      </c>
      <c r="J180" s="1">
        <v>109308</v>
      </c>
      <c r="K180" s="1">
        <v>113813</v>
      </c>
      <c r="L180" s="1">
        <v>112487</v>
      </c>
      <c r="M180" s="1">
        <v>107480</v>
      </c>
      <c r="N180" s="1">
        <v>98459</v>
      </c>
      <c r="O180" s="2">
        <v>389</v>
      </c>
      <c r="P180" s="3">
        <v>267.21850000000001</v>
      </c>
      <c r="Q180" s="3">
        <v>0.99629999999999996</v>
      </c>
      <c r="R180">
        <v>0</v>
      </c>
    </row>
    <row r="181" spans="2:18" x14ac:dyDescent="0.35">
      <c r="B181">
        <v>188</v>
      </c>
      <c r="C181" t="s">
        <v>555</v>
      </c>
      <c r="D181" t="s">
        <v>556</v>
      </c>
      <c r="E181" t="s">
        <v>557</v>
      </c>
      <c r="F181" t="s">
        <v>32</v>
      </c>
      <c r="G181" s="1">
        <v>222382</v>
      </c>
      <c r="H181" s="1">
        <v>214929</v>
      </c>
      <c r="I181" s="1">
        <v>203571</v>
      </c>
      <c r="J181" s="1">
        <v>194672</v>
      </c>
      <c r="K181" s="1">
        <v>184008</v>
      </c>
      <c r="L181" s="1">
        <v>168186</v>
      </c>
      <c r="M181" s="1">
        <v>164905</v>
      </c>
      <c r="N181" s="1">
        <v>142771</v>
      </c>
      <c r="O181" s="2">
        <v>2842</v>
      </c>
      <c r="P181" s="3">
        <v>78.248400000000004</v>
      </c>
      <c r="Q181" s="3">
        <v>1.0165</v>
      </c>
      <c r="R181">
        <v>0</v>
      </c>
    </row>
    <row r="182" spans="2:18" x14ac:dyDescent="0.35">
      <c r="B182">
        <v>218</v>
      </c>
      <c r="C182" t="s">
        <v>558</v>
      </c>
      <c r="D182" t="s">
        <v>559</v>
      </c>
      <c r="E182" t="s">
        <v>559</v>
      </c>
      <c r="F182" t="s">
        <v>24</v>
      </c>
      <c r="G182" s="1">
        <v>33660</v>
      </c>
      <c r="H182" s="1">
        <v>34007</v>
      </c>
      <c r="I182" s="1">
        <v>33570</v>
      </c>
      <c r="J182" s="1">
        <v>31608</v>
      </c>
      <c r="K182" s="1">
        <v>26823</v>
      </c>
      <c r="L182" s="1">
        <v>23132</v>
      </c>
      <c r="M182" s="1">
        <v>21346</v>
      </c>
      <c r="N182" s="1">
        <v>18169</v>
      </c>
      <c r="O182" s="2">
        <v>61</v>
      </c>
      <c r="P182" s="3">
        <v>551.80330000000004</v>
      </c>
      <c r="Q182" s="3">
        <v>0.99750000000000005</v>
      </c>
      <c r="R182">
        <v>0</v>
      </c>
    </row>
    <row r="183" spans="2:18" x14ac:dyDescent="0.35">
      <c r="B183">
        <v>187</v>
      </c>
      <c r="C183" t="s">
        <v>560</v>
      </c>
      <c r="D183" t="s">
        <v>561</v>
      </c>
      <c r="E183" t="s">
        <v>562</v>
      </c>
      <c r="F183" t="s">
        <v>28</v>
      </c>
      <c r="G183" s="1">
        <v>227380</v>
      </c>
      <c r="H183" s="1">
        <v>218641</v>
      </c>
      <c r="I183" s="1">
        <v>201124</v>
      </c>
      <c r="J183" s="1">
        <v>182138</v>
      </c>
      <c r="K183" s="1">
        <v>143714</v>
      </c>
      <c r="L183" s="1">
        <v>120343</v>
      </c>
      <c r="M183" s="1">
        <v>97210</v>
      </c>
      <c r="N183" s="1">
        <v>77583</v>
      </c>
      <c r="O183" s="2">
        <v>964</v>
      </c>
      <c r="P183" s="3">
        <v>235.87139999999999</v>
      </c>
      <c r="Q183" s="3">
        <v>1.0192000000000001</v>
      </c>
      <c r="R183">
        <v>0</v>
      </c>
    </row>
    <row r="184" spans="2:18" x14ac:dyDescent="0.35">
      <c r="B184">
        <v>41</v>
      </c>
      <c r="C184" t="s">
        <v>563</v>
      </c>
      <c r="D184" t="s">
        <v>564</v>
      </c>
      <c r="E184" t="s">
        <v>565</v>
      </c>
      <c r="F184" t="s">
        <v>20</v>
      </c>
      <c r="G184" s="1">
        <v>36408820</v>
      </c>
      <c r="H184" s="1">
        <v>35997107</v>
      </c>
      <c r="I184" s="1">
        <v>32749848</v>
      </c>
      <c r="J184" s="1">
        <v>29411929</v>
      </c>
      <c r="K184" s="1">
        <v>21547390</v>
      </c>
      <c r="L184" s="1">
        <v>16004763</v>
      </c>
      <c r="M184" s="1">
        <v>10171710</v>
      </c>
      <c r="N184" s="1">
        <v>6106191</v>
      </c>
      <c r="O184" s="2">
        <v>2149690</v>
      </c>
      <c r="P184" s="3">
        <v>16.936800000000002</v>
      </c>
      <c r="Q184" s="3">
        <v>1.0127999999999999</v>
      </c>
      <c r="R184">
        <v>0.46</v>
      </c>
    </row>
    <row r="185" spans="2:18" x14ac:dyDescent="0.35">
      <c r="B185">
        <v>72</v>
      </c>
      <c r="C185" t="s">
        <v>566</v>
      </c>
      <c r="D185" t="s">
        <v>567</v>
      </c>
      <c r="E185" t="s">
        <v>568</v>
      </c>
      <c r="F185" t="s">
        <v>28</v>
      </c>
      <c r="G185" s="1">
        <v>17316449</v>
      </c>
      <c r="H185" s="1">
        <v>16436119</v>
      </c>
      <c r="I185" s="1">
        <v>14356181</v>
      </c>
      <c r="J185" s="1">
        <v>12530121</v>
      </c>
      <c r="K185" s="1">
        <v>9704287</v>
      </c>
      <c r="L185" s="1">
        <v>7536001</v>
      </c>
      <c r="M185" s="1">
        <v>5703869</v>
      </c>
      <c r="N185" s="1">
        <v>4367744</v>
      </c>
      <c r="O185" s="2">
        <v>196722</v>
      </c>
      <c r="P185" s="3">
        <v>88.025000000000006</v>
      </c>
      <c r="Q185" s="3">
        <v>1.0261</v>
      </c>
      <c r="R185">
        <v>0.22</v>
      </c>
    </row>
    <row r="186" spans="2:18" x14ac:dyDescent="0.35">
      <c r="B186">
        <v>105</v>
      </c>
      <c r="C186" t="s">
        <v>569</v>
      </c>
      <c r="D186" t="s">
        <v>570</v>
      </c>
      <c r="E186" t="s">
        <v>571</v>
      </c>
      <c r="F186" t="s">
        <v>24</v>
      </c>
      <c r="G186" s="1">
        <v>7221365</v>
      </c>
      <c r="H186" s="1">
        <v>7358005</v>
      </c>
      <c r="I186" s="1">
        <v>7519496</v>
      </c>
      <c r="J186" s="1">
        <v>7653748</v>
      </c>
      <c r="K186" s="1">
        <v>7935022</v>
      </c>
      <c r="L186" s="1">
        <v>7987529</v>
      </c>
      <c r="M186" s="1">
        <v>7777010</v>
      </c>
      <c r="N186" s="1">
        <v>7193533</v>
      </c>
      <c r="O186" s="2">
        <v>88361</v>
      </c>
      <c r="P186" s="3">
        <v>81.725700000000003</v>
      </c>
      <c r="Q186" s="3">
        <v>0.98970000000000002</v>
      </c>
      <c r="R186">
        <v>0.09</v>
      </c>
    </row>
    <row r="187" spans="2:18" x14ac:dyDescent="0.35">
      <c r="B187">
        <v>196</v>
      </c>
      <c r="C187" t="s">
        <v>572</v>
      </c>
      <c r="D187" t="s">
        <v>573</v>
      </c>
      <c r="E187" t="s">
        <v>574</v>
      </c>
      <c r="F187" t="s">
        <v>28</v>
      </c>
      <c r="G187" s="1">
        <v>107118</v>
      </c>
      <c r="H187" s="1">
        <v>105530</v>
      </c>
      <c r="I187" s="1">
        <v>99240</v>
      </c>
      <c r="J187" s="1">
        <v>92409</v>
      </c>
      <c r="K187" s="1">
        <v>80060</v>
      </c>
      <c r="L187" s="1">
        <v>71057</v>
      </c>
      <c r="M187" s="1">
        <v>65290</v>
      </c>
      <c r="N187" s="1">
        <v>54379</v>
      </c>
      <c r="O187" s="2">
        <v>452</v>
      </c>
      <c r="P187" s="3">
        <v>236.98670000000001</v>
      </c>
      <c r="Q187" s="3">
        <v>1.0061</v>
      </c>
      <c r="R187">
        <v>0</v>
      </c>
    </row>
    <row r="188" spans="2:18" x14ac:dyDescent="0.35">
      <c r="B188">
        <v>102</v>
      </c>
      <c r="C188" t="s">
        <v>575</v>
      </c>
      <c r="D188" t="s">
        <v>576</v>
      </c>
      <c r="E188" t="s">
        <v>577</v>
      </c>
      <c r="F188" t="s">
        <v>28</v>
      </c>
      <c r="G188" s="1">
        <v>8605718</v>
      </c>
      <c r="H188" s="1">
        <v>8233969</v>
      </c>
      <c r="I188" s="1">
        <v>7314773</v>
      </c>
      <c r="J188" s="1">
        <v>6436698</v>
      </c>
      <c r="K188" s="1">
        <v>4584067</v>
      </c>
      <c r="L188" s="1">
        <v>4325388</v>
      </c>
      <c r="M188" s="1">
        <v>3367477</v>
      </c>
      <c r="N188" s="1">
        <v>2778557</v>
      </c>
      <c r="O188" s="2">
        <v>71740</v>
      </c>
      <c r="P188" s="3">
        <v>119.95699999999999</v>
      </c>
      <c r="Q188" s="3">
        <v>1.022</v>
      </c>
      <c r="R188">
        <v>0.11</v>
      </c>
    </row>
    <row r="189" spans="2:18" x14ac:dyDescent="0.35">
      <c r="B189">
        <v>113</v>
      </c>
      <c r="C189" t="s">
        <v>578</v>
      </c>
      <c r="D189" t="s">
        <v>579</v>
      </c>
      <c r="E189" t="s">
        <v>579</v>
      </c>
      <c r="F189" t="s">
        <v>20</v>
      </c>
      <c r="G189" s="1">
        <v>5975689</v>
      </c>
      <c r="H189" s="1">
        <v>5909869</v>
      </c>
      <c r="I189" s="1">
        <v>5650018</v>
      </c>
      <c r="J189" s="1">
        <v>5163590</v>
      </c>
      <c r="K189" s="1">
        <v>4053602</v>
      </c>
      <c r="L189" s="1">
        <v>3022209</v>
      </c>
      <c r="M189" s="1">
        <v>2400729</v>
      </c>
      <c r="N189" s="1">
        <v>2061831</v>
      </c>
      <c r="O189" s="2">
        <v>710</v>
      </c>
      <c r="P189" s="3">
        <v>8416.4634000000005</v>
      </c>
      <c r="Q189" s="3">
        <v>1.0058</v>
      </c>
      <c r="R189">
        <v>7.0000000000000007E-2</v>
      </c>
    </row>
    <row r="190" spans="2:18" x14ac:dyDescent="0.35">
      <c r="B190">
        <v>214</v>
      </c>
      <c r="C190" t="s">
        <v>580</v>
      </c>
      <c r="D190" t="s">
        <v>581</v>
      </c>
      <c r="E190" t="s">
        <v>582</v>
      </c>
      <c r="F190" t="s">
        <v>42</v>
      </c>
      <c r="G190" s="1">
        <v>44175</v>
      </c>
      <c r="H190" s="1">
        <v>43621</v>
      </c>
      <c r="I190" s="1">
        <v>40205</v>
      </c>
      <c r="J190" s="1">
        <v>33034</v>
      </c>
      <c r="K190" s="1">
        <v>30489</v>
      </c>
      <c r="L190" s="1">
        <v>27845</v>
      </c>
      <c r="M190" s="1">
        <v>12243</v>
      </c>
      <c r="N190" s="1">
        <v>6260</v>
      </c>
      <c r="O190" s="2">
        <v>34</v>
      </c>
      <c r="P190" s="3">
        <v>1299.2646999999999</v>
      </c>
      <c r="Q190" s="3">
        <v>1.0029999999999999</v>
      </c>
      <c r="R190">
        <v>0</v>
      </c>
    </row>
    <row r="191" spans="2:18" x14ac:dyDescent="0.35">
      <c r="B191">
        <v>116</v>
      </c>
      <c r="C191" t="s">
        <v>583</v>
      </c>
      <c r="D191" t="s">
        <v>584</v>
      </c>
      <c r="E191" t="s">
        <v>585</v>
      </c>
      <c r="F191" t="s">
        <v>24</v>
      </c>
      <c r="G191" s="1">
        <v>5643453</v>
      </c>
      <c r="H191" s="1">
        <v>5456681</v>
      </c>
      <c r="I191" s="1">
        <v>5424444</v>
      </c>
      <c r="J191" s="1">
        <v>5396424</v>
      </c>
      <c r="K191" s="1">
        <v>5376690</v>
      </c>
      <c r="L191" s="1">
        <v>5261305</v>
      </c>
      <c r="M191" s="1">
        <v>4973883</v>
      </c>
      <c r="N191" s="1">
        <v>4522867</v>
      </c>
      <c r="O191" s="2">
        <v>49037</v>
      </c>
      <c r="P191" s="3">
        <v>115.0856</v>
      </c>
      <c r="Q191" s="3">
        <v>1.0359</v>
      </c>
      <c r="R191">
        <v>7.0000000000000007E-2</v>
      </c>
    </row>
    <row r="192" spans="2:18" x14ac:dyDescent="0.35">
      <c r="B192">
        <v>148</v>
      </c>
      <c r="C192" t="s">
        <v>586</v>
      </c>
      <c r="D192" t="s">
        <v>587</v>
      </c>
      <c r="E192" t="s">
        <v>588</v>
      </c>
      <c r="F192" t="s">
        <v>24</v>
      </c>
      <c r="G192" s="1">
        <v>2119844</v>
      </c>
      <c r="H192" s="1">
        <v>2117641</v>
      </c>
      <c r="I192" s="1">
        <v>2080862</v>
      </c>
      <c r="J192" s="1">
        <v>2057286</v>
      </c>
      <c r="K192" s="1">
        <v>1984339</v>
      </c>
      <c r="L192" s="1">
        <v>1986024</v>
      </c>
      <c r="M192" s="1">
        <v>1901570</v>
      </c>
      <c r="N192" s="1">
        <v>1741286</v>
      </c>
      <c r="O192" s="2">
        <v>20273</v>
      </c>
      <c r="P192" s="3">
        <v>104.56489999999999</v>
      </c>
      <c r="Q192" s="3">
        <v>1.0002</v>
      </c>
      <c r="R192">
        <v>0.03</v>
      </c>
    </row>
    <row r="193" spans="2:18" x14ac:dyDescent="0.35">
      <c r="B193">
        <v>166</v>
      </c>
      <c r="C193" t="s">
        <v>589</v>
      </c>
      <c r="D193" t="s">
        <v>590</v>
      </c>
      <c r="E193" t="s">
        <v>591</v>
      </c>
      <c r="F193" t="s">
        <v>32</v>
      </c>
      <c r="G193" s="1">
        <v>724273</v>
      </c>
      <c r="H193" s="1">
        <v>691191</v>
      </c>
      <c r="I193" s="1">
        <v>612660</v>
      </c>
      <c r="J193" s="1">
        <v>540394</v>
      </c>
      <c r="K193" s="1">
        <v>429978</v>
      </c>
      <c r="L193" s="1">
        <v>324171</v>
      </c>
      <c r="M193" s="1">
        <v>233668</v>
      </c>
      <c r="N193" s="1">
        <v>172833</v>
      </c>
      <c r="O193" s="2">
        <v>28896</v>
      </c>
      <c r="P193" s="3">
        <v>25.064800000000002</v>
      </c>
      <c r="Q193" s="3">
        <v>1.0232000000000001</v>
      </c>
      <c r="R193">
        <v>0.01</v>
      </c>
    </row>
    <row r="194" spans="2:18" x14ac:dyDescent="0.35">
      <c r="B194">
        <v>70</v>
      </c>
      <c r="C194" t="s">
        <v>592</v>
      </c>
      <c r="D194" t="s">
        <v>593</v>
      </c>
      <c r="E194" t="s">
        <v>594</v>
      </c>
      <c r="F194" t="s">
        <v>28</v>
      </c>
      <c r="G194" s="1">
        <v>17597511</v>
      </c>
      <c r="H194" s="1">
        <v>16537016</v>
      </c>
      <c r="I194" s="1">
        <v>13763906</v>
      </c>
      <c r="J194" s="1">
        <v>12026649</v>
      </c>
      <c r="K194" s="1">
        <v>8721465</v>
      </c>
      <c r="L194" s="1">
        <v>6999096</v>
      </c>
      <c r="M194" s="1">
        <v>5892224</v>
      </c>
      <c r="N194" s="1">
        <v>3720977</v>
      </c>
      <c r="O194" s="2">
        <v>637657</v>
      </c>
      <c r="P194" s="3">
        <v>27.597100000000001</v>
      </c>
      <c r="Q194" s="3">
        <v>1.0311999999999999</v>
      </c>
      <c r="R194">
        <v>0.22</v>
      </c>
    </row>
    <row r="195" spans="2:18" x14ac:dyDescent="0.35">
      <c r="B195">
        <v>24</v>
      </c>
      <c r="C195" t="s">
        <v>595</v>
      </c>
      <c r="D195" t="s">
        <v>596</v>
      </c>
      <c r="E195" t="s">
        <v>597</v>
      </c>
      <c r="F195" t="s">
        <v>28</v>
      </c>
      <c r="G195" s="1">
        <v>59893885</v>
      </c>
      <c r="H195" s="1">
        <v>58801927</v>
      </c>
      <c r="I195" s="1">
        <v>55876504</v>
      </c>
      <c r="J195" s="1">
        <v>51784921</v>
      </c>
      <c r="K195" s="1">
        <v>46813266</v>
      </c>
      <c r="L195" s="1">
        <v>39877570</v>
      </c>
      <c r="M195" s="1">
        <v>29463549</v>
      </c>
      <c r="N195" s="1">
        <v>22368306</v>
      </c>
      <c r="O195" s="2">
        <v>1221037</v>
      </c>
      <c r="P195" s="3">
        <v>49.051699999999997</v>
      </c>
      <c r="Q195" s="3">
        <v>1.0084</v>
      </c>
      <c r="R195">
        <v>0.75</v>
      </c>
    </row>
    <row r="196" spans="2:18" x14ac:dyDescent="0.35">
      <c r="B196">
        <v>29</v>
      </c>
      <c r="C196" t="s">
        <v>598</v>
      </c>
      <c r="D196" t="s">
        <v>599</v>
      </c>
      <c r="E196" t="s">
        <v>600</v>
      </c>
      <c r="F196" t="s">
        <v>20</v>
      </c>
      <c r="G196" s="1">
        <v>51815810</v>
      </c>
      <c r="H196" s="1">
        <v>51844690</v>
      </c>
      <c r="I196" s="1">
        <v>50994401</v>
      </c>
      <c r="J196" s="1">
        <v>48813042</v>
      </c>
      <c r="K196" s="1">
        <v>46788591</v>
      </c>
      <c r="L196" s="1">
        <v>44120039</v>
      </c>
      <c r="M196" s="1">
        <v>38170501</v>
      </c>
      <c r="N196" s="1">
        <v>32601143</v>
      </c>
      <c r="O196" s="2">
        <v>100210</v>
      </c>
      <c r="P196" s="3">
        <v>517.07219999999995</v>
      </c>
      <c r="Q196" s="3">
        <v>0.99970000000000003</v>
      </c>
      <c r="R196">
        <v>0.65</v>
      </c>
    </row>
    <row r="197" spans="2:18" x14ac:dyDescent="0.35">
      <c r="B197">
        <v>86</v>
      </c>
      <c r="C197" t="s">
        <v>601</v>
      </c>
      <c r="D197" t="s">
        <v>602</v>
      </c>
      <c r="E197" t="s">
        <v>603</v>
      </c>
      <c r="F197" t="s">
        <v>28</v>
      </c>
      <c r="G197" s="1">
        <v>10913164</v>
      </c>
      <c r="H197" s="1">
        <v>10606227</v>
      </c>
      <c r="I197" s="1">
        <v>11194299</v>
      </c>
      <c r="J197" s="1">
        <v>9714419</v>
      </c>
      <c r="K197" s="1">
        <v>6114440</v>
      </c>
      <c r="L197" s="1">
        <v>4750817</v>
      </c>
      <c r="M197" s="1">
        <v>4192011</v>
      </c>
      <c r="N197" s="1">
        <v>3342410</v>
      </c>
      <c r="O197" s="2">
        <v>619745</v>
      </c>
      <c r="P197" s="3">
        <v>17.609100000000002</v>
      </c>
      <c r="Q197" s="3">
        <v>1.0153000000000001</v>
      </c>
      <c r="R197">
        <v>0.14000000000000001</v>
      </c>
    </row>
    <row r="198" spans="2:18" x14ac:dyDescent="0.35">
      <c r="B198">
        <v>30</v>
      </c>
      <c r="C198" t="s">
        <v>604</v>
      </c>
      <c r="D198" t="s">
        <v>605</v>
      </c>
      <c r="E198" t="s">
        <v>606</v>
      </c>
      <c r="F198" t="s">
        <v>24</v>
      </c>
      <c r="G198" s="1">
        <v>47558630</v>
      </c>
      <c r="H198" s="1">
        <v>47363807</v>
      </c>
      <c r="I198" s="1">
        <v>46431342</v>
      </c>
      <c r="J198" s="1">
        <v>46572772</v>
      </c>
      <c r="K198" s="1">
        <v>40741651</v>
      </c>
      <c r="L198" s="1">
        <v>38889889</v>
      </c>
      <c r="M198" s="1">
        <v>37491666</v>
      </c>
      <c r="N198" s="1">
        <v>33792617</v>
      </c>
      <c r="O198" s="2">
        <v>505992</v>
      </c>
      <c r="P198" s="3">
        <v>93.990899999999996</v>
      </c>
      <c r="Q198" s="3">
        <v>1.0015000000000001</v>
      </c>
      <c r="R198">
        <v>0.6</v>
      </c>
    </row>
    <row r="199" spans="2:18" x14ac:dyDescent="0.35">
      <c r="B199">
        <v>61</v>
      </c>
      <c r="C199" t="s">
        <v>607</v>
      </c>
      <c r="D199" t="s">
        <v>608</v>
      </c>
      <c r="E199" t="s">
        <v>609</v>
      </c>
      <c r="F199" t="s">
        <v>20</v>
      </c>
      <c r="G199" s="1">
        <v>21832143</v>
      </c>
      <c r="H199" s="1">
        <v>21715079</v>
      </c>
      <c r="I199" s="1">
        <v>21336697</v>
      </c>
      <c r="J199" s="1">
        <v>20668557</v>
      </c>
      <c r="K199" s="1">
        <v>18776371</v>
      </c>
      <c r="L199" s="1">
        <v>17204094</v>
      </c>
      <c r="M199" s="1">
        <v>14943645</v>
      </c>
      <c r="N199" s="1">
        <v>12388769</v>
      </c>
      <c r="O199" s="2">
        <v>65610</v>
      </c>
      <c r="P199" s="3">
        <v>332.75630000000001</v>
      </c>
      <c r="Q199" s="3">
        <v>1.0026999999999999</v>
      </c>
      <c r="R199">
        <v>0.27</v>
      </c>
    </row>
    <row r="200" spans="2:18" x14ac:dyDescent="0.35">
      <c r="B200">
        <v>32</v>
      </c>
      <c r="C200" t="s">
        <v>610</v>
      </c>
      <c r="D200" t="s">
        <v>611</v>
      </c>
      <c r="E200" t="s">
        <v>612</v>
      </c>
      <c r="F200" t="s">
        <v>28</v>
      </c>
      <c r="G200" s="1">
        <v>46874204</v>
      </c>
      <c r="H200" s="1">
        <v>44440486</v>
      </c>
      <c r="I200" s="1">
        <v>38171178</v>
      </c>
      <c r="J200" s="1">
        <v>33739933</v>
      </c>
      <c r="K200" s="1">
        <v>26298773</v>
      </c>
      <c r="L200" s="1">
        <v>21090886</v>
      </c>
      <c r="M200" s="1">
        <v>16673586</v>
      </c>
      <c r="N200" s="1">
        <v>11305206</v>
      </c>
      <c r="O200" s="2">
        <v>1886068</v>
      </c>
      <c r="P200" s="3">
        <v>24.852900000000002</v>
      </c>
      <c r="Q200" s="3">
        <v>1.0266999999999999</v>
      </c>
      <c r="R200">
        <v>0.59</v>
      </c>
    </row>
    <row r="201" spans="2:18" x14ac:dyDescent="0.35">
      <c r="B201">
        <v>170</v>
      </c>
      <c r="C201" t="s">
        <v>613</v>
      </c>
      <c r="D201" t="s">
        <v>614</v>
      </c>
      <c r="E201" t="s">
        <v>615</v>
      </c>
      <c r="F201" t="s">
        <v>49</v>
      </c>
      <c r="G201" s="1">
        <v>618040</v>
      </c>
      <c r="H201" s="1">
        <v>607065</v>
      </c>
      <c r="I201" s="1">
        <v>575475</v>
      </c>
      <c r="J201" s="1">
        <v>546080</v>
      </c>
      <c r="K201" s="1">
        <v>478998</v>
      </c>
      <c r="L201" s="1">
        <v>412756</v>
      </c>
      <c r="M201" s="1">
        <v>375112</v>
      </c>
      <c r="N201" s="1">
        <v>379918</v>
      </c>
      <c r="O201" s="2">
        <v>163820</v>
      </c>
      <c r="P201" s="3">
        <v>3.7726999999999999</v>
      </c>
      <c r="Q201" s="3">
        <v>1.0082</v>
      </c>
      <c r="R201">
        <v>0.01</v>
      </c>
    </row>
    <row r="202" spans="2:18" x14ac:dyDescent="0.35">
      <c r="B202">
        <v>87</v>
      </c>
      <c r="C202" t="s">
        <v>616</v>
      </c>
      <c r="D202" t="s">
        <v>617</v>
      </c>
      <c r="E202" t="s">
        <v>618</v>
      </c>
      <c r="F202" t="s">
        <v>24</v>
      </c>
      <c r="G202" s="1">
        <v>10549347</v>
      </c>
      <c r="H202" s="1">
        <v>10368969</v>
      </c>
      <c r="I202" s="1">
        <v>9849349</v>
      </c>
      <c r="J202" s="1">
        <v>9381729</v>
      </c>
      <c r="K202" s="1">
        <v>8871043</v>
      </c>
      <c r="L202" s="1">
        <v>8548406</v>
      </c>
      <c r="M202" s="1">
        <v>8311763</v>
      </c>
      <c r="N202" s="1">
        <v>8027702</v>
      </c>
      <c r="O202" s="2">
        <v>450295</v>
      </c>
      <c r="P202" s="3">
        <v>23.427600000000002</v>
      </c>
      <c r="Q202" s="3">
        <v>1.0079</v>
      </c>
      <c r="R202">
        <v>0.13</v>
      </c>
    </row>
    <row r="203" spans="2:18" x14ac:dyDescent="0.35">
      <c r="B203">
        <v>101</v>
      </c>
      <c r="C203" t="s">
        <v>619</v>
      </c>
      <c r="D203" t="s">
        <v>620</v>
      </c>
      <c r="E203" t="s">
        <v>621</v>
      </c>
      <c r="F203" t="s">
        <v>24</v>
      </c>
      <c r="G203" s="1">
        <v>8740472</v>
      </c>
      <c r="H203" s="1">
        <v>8638613</v>
      </c>
      <c r="I203" s="1">
        <v>8281732</v>
      </c>
      <c r="J203" s="1">
        <v>7822435</v>
      </c>
      <c r="K203" s="1">
        <v>7182059</v>
      </c>
      <c r="L203" s="1">
        <v>6711693</v>
      </c>
      <c r="M203" s="1">
        <v>6319113</v>
      </c>
      <c r="N203" s="1">
        <v>6181227</v>
      </c>
      <c r="O203" s="2">
        <v>41284</v>
      </c>
      <c r="P203" s="3">
        <v>211.7157</v>
      </c>
      <c r="Q203" s="3">
        <v>1.0056</v>
      </c>
      <c r="R203">
        <v>0.11</v>
      </c>
    </row>
    <row r="204" spans="2:18" x14ac:dyDescent="0.35">
      <c r="B204">
        <v>60</v>
      </c>
      <c r="C204" t="s">
        <v>622</v>
      </c>
      <c r="D204" t="s">
        <v>623</v>
      </c>
      <c r="E204" t="s">
        <v>624</v>
      </c>
      <c r="F204" t="s">
        <v>20</v>
      </c>
      <c r="G204" s="1">
        <v>22125249</v>
      </c>
      <c r="H204" s="1">
        <v>20772595</v>
      </c>
      <c r="I204" s="1">
        <v>19205178</v>
      </c>
      <c r="J204" s="1">
        <v>22337563</v>
      </c>
      <c r="K204" s="1">
        <v>16307654</v>
      </c>
      <c r="L204" s="1">
        <v>12408996</v>
      </c>
      <c r="M204" s="1">
        <v>8898954</v>
      </c>
      <c r="N204" s="1">
        <v>6319199</v>
      </c>
      <c r="O204" s="2">
        <v>185180</v>
      </c>
      <c r="P204" s="3">
        <v>119.47969999999999</v>
      </c>
      <c r="Q204" s="3">
        <v>1.0376000000000001</v>
      </c>
      <c r="R204">
        <v>0.28000000000000003</v>
      </c>
    </row>
    <row r="205" spans="2:18" x14ac:dyDescent="0.35">
      <c r="B205">
        <v>57</v>
      </c>
      <c r="C205" t="s">
        <v>625</v>
      </c>
      <c r="D205" t="s">
        <v>626</v>
      </c>
      <c r="E205" t="s">
        <v>627</v>
      </c>
      <c r="F205" t="s">
        <v>20</v>
      </c>
      <c r="G205" s="1">
        <v>23893394</v>
      </c>
      <c r="H205" s="1">
        <v>23821464</v>
      </c>
      <c r="I205" s="1">
        <v>23512136</v>
      </c>
      <c r="J205" s="1">
        <v>23083083</v>
      </c>
      <c r="K205" s="1">
        <v>22194731</v>
      </c>
      <c r="L205" s="1">
        <v>20586174</v>
      </c>
      <c r="M205" s="1">
        <v>18100281</v>
      </c>
      <c r="N205" s="1">
        <v>14957870</v>
      </c>
      <c r="O205" s="2">
        <v>36193</v>
      </c>
      <c r="P205" s="3">
        <v>660.1662</v>
      </c>
      <c r="Q205" s="3">
        <v>1.0014000000000001</v>
      </c>
      <c r="R205">
        <v>0.3</v>
      </c>
    </row>
    <row r="206" spans="2:18" x14ac:dyDescent="0.35">
      <c r="B206">
        <v>95</v>
      </c>
      <c r="C206" t="s">
        <v>628</v>
      </c>
      <c r="D206" t="s">
        <v>629</v>
      </c>
      <c r="E206" t="s">
        <v>630</v>
      </c>
      <c r="F206" t="s">
        <v>20</v>
      </c>
      <c r="G206" s="1">
        <v>9952787</v>
      </c>
      <c r="H206" s="1">
        <v>9543207</v>
      </c>
      <c r="I206" s="1">
        <v>8524063</v>
      </c>
      <c r="J206" s="1">
        <v>7621779</v>
      </c>
      <c r="K206" s="1">
        <v>6272998</v>
      </c>
      <c r="L206" s="1">
        <v>5417860</v>
      </c>
      <c r="M206" s="1">
        <v>4045965</v>
      </c>
      <c r="N206" s="1">
        <v>2993019</v>
      </c>
      <c r="O206" s="2">
        <v>143100</v>
      </c>
      <c r="P206" s="3">
        <v>69.551299999999998</v>
      </c>
      <c r="Q206" s="3">
        <v>1.0207999999999999</v>
      </c>
      <c r="R206">
        <v>0.12</v>
      </c>
    </row>
    <row r="207" spans="2:18" x14ac:dyDescent="0.35">
      <c r="B207">
        <v>22</v>
      </c>
      <c r="C207" t="s">
        <v>631</v>
      </c>
      <c r="D207" t="s">
        <v>632</v>
      </c>
      <c r="E207" t="s">
        <v>633</v>
      </c>
      <c r="F207" t="s">
        <v>28</v>
      </c>
      <c r="G207" s="1">
        <v>65497748</v>
      </c>
      <c r="H207" s="1">
        <v>61704518</v>
      </c>
      <c r="I207" s="1">
        <v>52542823</v>
      </c>
      <c r="J207" s="1">
        <v>45110527</v>
      </c>
      <c r="K207" s="1">
        <v>34463704</v>
      </c>
      <c r="L207" s="1">
        <v>26206012</v>
      </c>
      <c r="M207" s="1">
        <v>19297659</v>
      </c>
      <c r="N207" s="1">
        <v>13618192</v>
      </c>
      <c r="O207" s="2">
        <v>945087</v>
      </c>
      <c r="P207" s="3">
        <v>69.303399999999996</v>
      </c>
      <c r="Q207" s="3">
        <v>1.03</v>
      </c>
      <c r="R207">
        <v>0.82</v>
      </c>
    </row>
    <row r="208" spans="2:18" x14ac:dyDescent="0.35">
      <c r="B208">
        <v>20</v>
      </c>
      <c r="C208" t="s">
        <v>634</v>
      </c>
      <c r="D208" t="s">
        <v>635</v>
      </c>
      <c r="E208" t="s">
        <v>636</v>
      </c>
      <c r="F208" t="s">
        <v>20</v>
      </c>
      <c r="G208" s="1">
        <v>71697030</v>
      </c>
      <c r="H208" s="1">
        <v>71475664</v>
      </c>
      <c r="I208" s="1">
        <v>70294397</v>
      </c>
      <c r="J208" s="1">
        <v>68270489</v>
      </c>
      <c r="K208" s="1">
        <v>63066603</v>
      </c>
      <c r="L208" s="1">
        <v>55228410</v>
      </c>
      <c r="M208" s="1">
        <v>45737753</v>
      </c>
      <c r="N208" s="1">
        <v>35791728</v>
      </c>
      <c r="O208" s="2">
        <v>513120</v>
      </c>
      <c r="P208" s="3">
        <v>139.7276</v>
      </c>
      <c r="Q208" s="3">
        <v>1.0013000000000001</v>
      </c>
      <c r="R208">
        <v>0.9</v>
      </c>
    </row>
    <row r="209" spans="2:18" x14ac:dyDescent="0.35">
      <c r="B209">
        <v>155</v>
      </c>
      <c r="C209" t="s">
        <v>637</v>
      </c>
      <c r="D209" t="s">
        <v>638</v>
      </c>
      <c r="E209" t="s">
        <v>639</v>
      </c>
      <c r="F209" t="s">
        <v>20</v>
      </c>
      <c r="G209" s="1">
        <v>1341296</v>
      </c>
      <c r="H209" s="1">
        <v>1299995</v>
      </c>
      <c r="I209" s="1">
        <v>1205813</v>
      </c>
      <c r="J209" s="1">
        <v>1088486</v>
      </c>
      <c r="K209" s="1">
        <v>878360</v>
      </c>
      <c r="L209" s="1">
        <v>758106</v>
      </c>
      <c r="M209" s="1">
        <v>642224</v>
      </c>
      <c r="N209" s="1">
        <v>554021</v>
      </c>
      <c r="O209" s="2">
        <v>14874</v>
      </c>
      <c r="P209" s="3">
        <v>90.177199999999999</v>
      </c>
      <c r="Q209" s="3">
        <v>1.0154000000000001</v>
      </c>
      <c r="R209">
        <v>0.02</v>
      </c>
    </row>
    <row r="210" spans="2:18" x14ac:dyDescent="0.35">
      <c r="B210">
        <v>100</v>
      </c>
      <c r="C210" t="s">
        <v>640</v>
      </c>
      <c r="D210" t="s">
        <v>641</v>
      </c>
      <c r="E210" t="s">
        <v>642</v>
      </c>
      <c r="F210" t="s">
        <v>28</v>
      </c>
      <c r="G210" s="1">
        <v>8848699</v>
      </c>
      <c r="H210" s="1">
        <v>8442580</v>
      </c>
      <c r="I210" s="1">
        <v>7473229</v>
      </c>
      <c r="J210" s="1">
        <v>6571855</v>
      </c>
      <c r="K210" s="1">
        <v>5008035</v>
      </c>
      <c r="L210" s="1">
        <v>3875947</v>
      </c>
      <c r="M210" s="1">
        <v>2838110</v>
      </c>
      <c r="N210" s="1">
        <v>2197383</v>
      </c>
      <c r="O210" s="2">
        <v>56785</v>
      </c>
      <c r="P210" s="3">
        <v>155.82810000000001</v>
      </c>
      <c r="Q210" s="3">
        <v>1.0236000000000001</v>
      </c>
      <c r="R210">
        <v>0.11</v>
      </c>
    </row>
    <row r="211" spans="2:18" x14ac:dyDescent="0.35">
      <c r="B211">
        <v>233</v>
      </c>
      <c r="C211" t="s">
        <v>643</v>
      </c>
      <c r="D211" t="s">
        <v>644</v>
      </c>
      <c r="E211" t="s">
        <v>645</v>
      </c>
      <c r="F211" t="s">
        <v>32</v>
      </c>
      <c r="G211" s="1">
        <v>1871</v>
      </c>
      <c r="H211" s="1">
        <v>1827</v>
      </c>
      <c r="I211" s="1">
        <v>1454</v>
      </c>
      <c r="J211" s="1">
        <v>1367</v>
      </c>
      <c r="K211" s="1">
        <v>1666</v>
      </c>
      <c r="L211" s="1">
        <v>1669</v>
      </c>
      <c r="M211" s="1">
        <v>1647</v>
      </c>
      <c r="N211" s="1">
        <v>1714</v>
      </c>
      <c r="O211" s="2">
        <v>12</v>
      </c>
      <c r="P211" s="3">
        <v>155.91669999999999</v>
      </c>
      <c r="Q211" s="3">
        <v>1.0119</v>
      </c>
      <c r="R211">
        <v>0</v>
      </c>
    </row>
    <row r="212" spans="2:18" x14ac:dyDescent="0.35">
      <c r="B212">
        <v>197</v>
      </c>
      <c r="C212" t="s">
        <v>646</v>
      </c>
      <c r="D212" t="s">
        <v>647</v>
      </c>
      <c r="E212" t="s">
        <v>648</v>
      </c>
      <c r="F212" t="s">
        <v>32</v>
      </c>
      <c r="G212" s="1">
        <v>106858</v>
      </c>
      <c r="H212" s="1">
        <v>105254</v>
      </c>
      <c r="I212" s="1">
        <v>106122</v>
      </c>
      <c r="J212" s="1">
        <v>107383</v>
      </c>
      <c r="K212" s="1">
        <v>102603</v>
      </c>
      <c r="L212" s="1">
        <v>98727</v>
      </c>
      <c r="M212" s="1">
        <v>96708</v>
      </c>
      <c r="N212" s="1">
        <v>86484</v>
      </c>
      <c r="O212" s="2">
        <v>747</v>
      </c>
      <c r="P212" s="3">
        <v>143.04949999999999</v>
      </c>
      <c r="Q212" s="3">
        <v>1.0079</v>
      </c>
      <c r="R212">
        <v>0</v>
      </c>
    </row>
    <row r="213" spans="2:18" x14ac:dyDescent="0.35">
      <c r="B213">
        <v>153</v>
      </c>
      <c r="C213" t="s">
        <v>649</v>
      </c>
      <c r="D213" t="s">
        <v>650</v>
      </c>
      <c r="E213" t="s">
        <v>651</v>
      </c>
      <c r="F213" t="s">
        <v>42</v>
      </c>
      <c r="G213" s="1">
        <v>1531044</v>
      </c>
      <c r="H213" s="1">
        <v>1518147</v>
      </c>
      <c r="I213" s="1">
        <v>1460177</v>
      </c>
      <c r="J213" s="1">
        <v>1410296</v>
      </c>
      <c r="K213" s="1">
        <v>1332203</v>
      </c>
      <c r="L213" s="1">
        <v>1266518</v>
      </c>
      <c r="M213" s="1">
        <v>1127852</v>
      </c>
      <c r="N213" s="1">
        <v>988890</v>
      </c>
      <c r="O213" s="2">
        <v>5130</v>
      </c>
      <c r="P213" s="3">
        <v>298.44909999999999</v>
      </c>
      <c r="Q213" s="3">
        <v>1.0035000000000001</v>
      </c>
      <c r="R213">
        <v>0.02</v>
      </c>
    </row>
    <row r="214" spans="2:18" x14ac:dyDescent="0.35">
      <c r="B214">
        <v>79</v>
      </c>
      <c r="C214" t="s">
        <v>652</v>
      </c>
      <c r="D214" t="s">
        <v>653</v>
      </c>
      <c r="E214" t="s">
        <v>654</v>
      </c>
      <c r="F214" t="s">
        <v>28</v>
      </c>
      <c r="G214" s="1">
        <v>12356117</v>
      </c>
      <c r="H214" s="1">
        <v>12161723</v>
      </c>
      <c r="I214" s="1">
        <v>11557779</v>
      </c>
      <c r="J214" s="1">
        <v>10895063</v>
      </c>
      <c r="K214" s="1">
        <v>9893316</v>
      </c>
      <c r="L214" s="1">
        <v>8440023</v>
      </c>
      <c r="M214" s="1">
        <v>6578156</v>
      </c>
      <c r="N214" s="1">
        <v>5047404</v>
      </c>
      <c r="O214" s="2">
        <v>163610</v>
      </c>
      <c r="P214" s="3">
        <v>75.521799999999999</v>
      </c>
      <c r="Q214" s="3">
        <v>1.0076000000000001</v>
      </c>
      <c r="R214">
        <v>0.15</v>
      </c>
    </row>
    <row r="215" spans="2:18" x14ac:dyDescent="0.35">
      <c r="B215">
        <v>18</v>
      </c>
      <c r="C215" t="s">
        <v>655</v>
      </c>
      <c r="D215" t="s">
        <v>656</v>
      </c>
      <c r="E215" t="s">
        <v>657</v>
      </c>
      <c r="F215" t="s">
        <v>20</v>
      </c>
      <c r="G215" s="1">
        <v>85341241</v>
      </c>
      <c r="H215" s="1">
        <v>84135428</v>
      </c>
      <c r="I215" s="1">
        <v>79646178</v>
      </c>
      <c r="J215" s="1">
        <v>73195345</v>
      </c>
      <c r="K215" s="1">
        <v>64113547</v>
      </c>
      <c r="L215" s="1">
        <v>54324142</v>
      </c>
      <c r="M215" s="1">
        <v>44089069</v>
      </c>
      <c r="N215" s="1">
        <v>35540990</v>
      </c>
      <c r="O215" s="2">
        <v>783562</v>
      </c>
      <c r="P215" s="3">
        <v>108.9145</v>
      </c>
      <c r="Q215" s="3">
        <v>1.0066999999999999</v>
      </c>
      <c r="R215">
        <v>1.07</v>
      </c>
    </row>
    <row r="216" spans="2:18" x14ac:dyDescent="0.35">
      <c r="B216">
        <v>111</v>
      </c>
      <c r="C216" t="s">
        <v>658</v>
      </c>
      <c r="D216" t="s">
        <v>659</v>
      </c>
      <c r="E216" t="s">
        <v>660</v>
      </c>
      <c r="F216" t="s">
        <v>20</v>
      </c>
      <c r="G216" s="1">
        <v>6430770</v>
      </c>
      <c r="H216" s="1">
        <v>6250438</v>
      </c>
      <c r="I216" s="1">
        <v>5766431</v>
      </c>
      <c r="J216" s="1">
        <v>5267970</v>
      </c>
      <c r="K216" s="1">
        <v>4569132</v>
      </c>
      <c r="L216" s="1">
        <v>3720278</v>
      </c>
      <c r="M216" s="1">
        <v>2862903</v>
      </c>
      <c r="N216" s="1">
        <v>2201432</v>
      </c>
      <c r="O216" s="2">
        <v>488100</v>
      </c>
      <c r="P216" s="3">
        <v>13.1751</v>
      </c>
      <c r="Q216" s="3">
        <v>1.014</v>
      </c>
      <c r="R216">
        <v>0.08</v>
      </c>
    </row>
    <row r="217" spans="2:18" x14ac:dyDescent="0.35">
      <c r="B217">
        <v>212</v>
      </c>
      <c r="C217" t="s">
        <v>661</v>
      </c>
      <c r="D217" t="s">
        <v>662</v>
      </c>
      <c r="E217" t="s">
        <v>663</v>
      </c>
      <c r="F217" t="s">
        <v>42</v>
      </c>
      <c r="G217" s="1">
        <v>45703</v>
      </c>
      <c r="H217" s="1">
        <v>44276</v>
      </c>
      <c r="I217" s="1">
        <v>36538</v>
      </c>
      <c r="J217" s="1">
        <v>29726</v>
      </c>
      <c r="K217" s="1">
        <v>18744</v>
      </c>
      <c r="L217" s="1">
        <v>11709</v>
      </c>
      <c r="M217" s="1">
        <v>7598</v>
      </c>
      <c r="N217" s="1">
        <v>5665</v>
      </c>
      <c r="O217" s="2">
        <v>948</v>
      </c>
      <c r="P217" s="3">
        <v>48.209899999999998</v>
      </c>
      <c r="Q217" s="3">
        <v>1.0130999999999999</v>
      </c>
      <c r="R217">
        <v>0</v>
      </c>
    </row>
    <row r="218" spans="2:18" x14ac:dyDescent="0.35">
      <c r="B218">
        <v>227</v>
      </c>
      <c r="C218" t="s">
        <v>664</v>
      </c>
      <c r="D218" t="s">
        <v>665</v>
      </c>
      <c r="E218" t="s">
        <v>666</v>
      </c>
      <c r="F218" t="s">
        <v>32</v>
      </c>
      <c r="G218" s="1">
        <v>11312</v>
      </c>
      <c r="H218" s="1">
        <v>11069</v>
      </c>
      <c r="I218" s="1">
        <v>10877</v>
      </c>
      <c r="J218" s="1">
        <v>10550</v>
      </c>
      <c r="K218" s="1">
        <v>9638</v>
      </c>
      <c r="L218" s="1">
        <v>9182</v>
      </c>
      <c r="M218" s="1">
        <v>7731</v>
      </c>
      <c r="N218" s="1">
        <v>5814</v>
      </c>
      <c r="O218" s="2">
        <v>26</v>
      </c>
      <c r="P218" s="3">
        <v>435.07690000000002</v>
      </c>
      <c r="Q218" s="3">
        <v>1.0096000000000001</v>
      </c>
      <c r="R218">
        <v>0</v>
      </c>
    </row>
    <row r="219" spans="2:18" x14ac:dyDescent="0.35">
      <c r="B219">
        <v>31</v>
      </c>
      <c r="C219" t="s">
        <v>667</v>
      </c>
      <c r="D219" t="s">
        <v>668</v>
      </c>
      <c r="E219" t="s">
        <v>669</v>
      </c>
      <c r="F219" t="s">
        <v>28</v>
      </c>
      <c r="G219" s="1">
        <v>47249585</v>
      </c>
      <c r="H219" s="1">
        <v>44404611</v>
      </c>
      <c r="I219" s="1">
        <v>37477356</v>
      </c>
      <c r="J219" s="1">
        <v>32341728</v>
      </c>
      <c r="K219" s="1">
        <v>24020697</v>
      </c>
      <c r="L219" s="1">
        <v>17586630</v>
      </c>
      <c r="M219" s="1">
        <v>13284026</v>
      </c>
      <c r="N219" s="1">
        <v>10317212</v>
      </c>
      <c r="O219" s="2">
        <v>241550</v>
      </c>
      <c r="P219" s="3">
        <v>195.61</v>
      </c>
      <c r="Q219" s="3">
        <v>1.0304</v>
      </c>
      <c r="R219">
        <v>0.59</v>
      </c>
    </row>
    <row r="220" spans="2:18" x14ac:dyDescent="0.35">
      <c r="B220">
        <v>38</v>
      </c>
      <c r="C220" t="s">
        <v>670</v>
      </c>
      <c r="D220" t="s">
        <v>671</v>
      </c>
      <c r="E220" t="s">
        <v>672</v>
      </c>
      <c r="F220" t="s">
        <v>24</v>
      </c>
      <c r="G220" s="1">
        <v>39701739</v>
      </c>
      <c r="H220" s="1">
        <v>43909666</v>
      </c>
      <c r="I220" s="1">
        <v>44982564</v>
      </c>
      <c r="J220" s="1">
        <v>45683020</v>
      </c>
      <c r="K220" s="1">
        <v>48879755</v>
      </c>
      <c r="L220" s="1">
        <v>51589817</v>
      </c>
      <c r="M220" s="1">
        <v>49973920</v>
      </c>
      <c r="N220" s="1">
        <v>47279086</v>
      </c>
      <c r="O220" s="2">
        <v>603500</v>
      </c>
      <c r="P220" s="3">
        <v>65.785799999999995</v>
      </c>
      <c r="Q220" s="3">
        <v>0.91200000000000003</v>
      </c>
      <c r="R220">
        <v>0.5</v>
      </c>
    </row>
    <row r="221" spans="2:18" x14ac:dyDescent="0.35">
      <c r="B221">
        <v>97</v>
      </c>
      <c r="C221" t="s">
        <v>673</v>
      </c>
      <c r="D221" t="s">
        <v>674</v>
      </c>
      <c r="E221" t="s">
        <v>675</v>
      </c>
      <c r="F221" t="s">
        <v>20</v>
      </c>
      <c r="G221" s="1">
        <v>9441129</v>
      </c>
      <c r="H221" s="1">
        <v>9287289</v>
      </c>
      <c r="I221" s="1">
        <v>8916899</v>
      </c>
      <c r="J221" s="1">
        <v>8481771</v>
      </c>
      <c r="K221" s="1">
        <v>3275333</v>
      </c>
      <c r="L221" s="1">
        <v>1900151</v>
      </c>
      <c r="M221" s="1">
        <v>1014048</v>
      </c>
      <c r="N221" s="1">
        <v>298084</v>
      </c>
      <c r="O221" s="2">
        <v>83600</v>
      </c>
      <c r="P221" s="3">
        <v>112.93219999999999</v>
      </c>
      <c r="Q221" s="3">
        <v>1.0081</v>
      </c>
      <c r="R221">
        <v>0.12</v>
      </c>
    </row>
    <row r="222" spans="2:18" x14ac:dyDescent="0.35">
      <c r="B222">
        <v>21</v>
      </c>
      <c r="C222" t="s">
        <v>676</v>
      </c>
      <c r="D222" t="s">
        <v>677</v>
      </c>
      <c r="E222" t="s">
        <v>678</v>
      </c>
      <c r="F222" t="s">
        <v>24</v>
      </c>
      <c r="G222" s="1">
        <v>67508936</v>
      </c>
      <c r="H222" s="1">
        <v>67059474</v>
      </c>
      <c r="I222" s="1">
        <v>65224364</v>
      </c>
      <c r="J222" s="1">
        <v>62760039</v>
      </c>
      <c r="K222" s="1">
        <v>58850043</v>
      </c>
      <c r="L222" s="1">
        <v>57210442</v>
      </c>
      <c r="M222" s="1">
        <v>56326328</v>
      </c>
      <c r="N222" s="1">
        <v>55650166</v>
      </c>
      <c r="O222" s="2">
        <v>242900</v>
      </c>
      <c r="P222" s="3">
        <v>277.9289</v>
      </c>
      <c r="Q222" s="3">
        <v>1.0034000000000001</v>
      </c>
      <c r="R222">
        <v>0.85</v>
      </c>
    </row>
    <row r="223" spans="2:18" x14ac:dyDescent="0.35">
      <c r="B223">
        <v>3</v>
      </c>
      <c r="C223" t="s">
        <v>679</v>
      </c>
      <c r="D223" t="s">
        <v>680</v>
      </c>
      <c r="E223" t="s">
        <v>681</v>
      </c>
      <c r="F223" t="s">
        <v>42</v>
      </c>
      <c r="G223" s="1">
        <v>338289857</v>
      </c>
      <c r="H223" s="1">
        <v>335942003</v>
      </c>
      <c r="I223" s="1">
        <v>324607776</v>
      </c>
      <c r="J223" s="1">
        <v>311182845</v>
      </c>
      <c r="K223" s="1">
        <v>282398554</v>
      </c>
      <c r="L223" s="1">
        <v>248083732</v>
      </c>
      <c r="M223" s="1">
        <v>223140018</v>
      </c>
      <c r="N223" s="1">
        <v>200328340</v>
      </c>
      <c r="O223" s="2">
        <v>9372610</v>
      </c>
      <c r="P223" s="3">
        <v>36.093499999999999</v>
      </c>
      <c r="Q223" s="3">
        <v>1.0038</v>
      </c>
      <c r="R223">
        <v>4.24</v>
      </c>
    </row>
    <row r="224" spans="2:18" x14ac:dyDescent="0.35">
      <c r="B224">
        <v>200</v>
      </c>
      <c r="C224" t="s">
        <v>682</v>
      </c>
      <c r="D224" t="s">
        <v>683</v>
      </c>
      <c r="E224" t="s">
        <v>684</v>
      </c>
      <c r="F224" t="s">
        <v>42</v>
      </c>
      <c r="G224" s="1">
        <v>99465</v>
      </c>
      <c r="H224" s="1">
        <v>100442</v>
      </c>
      <c r="I224" s="1">
        <v>102803</v>
      </c>
      <c r="J224" s="1">
        <v>106142</v>
      </c>
      <c r="K224" s="1">
        <v>108185</v>
      </c>
      <c r="L224" s="1">
        <v>100685</v>
      </c>
      <c r="M224" s="1">
        <v>96640</v>
      </c>
      <c r="N224" s="1">
        <v>63446</v>
      </c>
      <c r="O224" s="2">
        <v>347</v>
      </c>
      <c r="P224" s="3">
        <v>286.64269999999999</v>
      </c>
      <c r="Q224" s="3">
        <v>0.99370000000000003</v>
      </c>
      <c r="R224">
        <v>0</v>
      </c>
    </row>
    <row r="225" spans="2:18" x14ac:dyDescent="0.35">
      <c r="B225">
        <v>133</v>
      </c>
      <c r="C225" t="s">
        <v>685</v>
      </c>
      <c r="D225" t="s">
        <v>686</v>
      </c>
      <c r="E225" t="s">
        <v>687</v>
      </c>
      <c r="F225" t="s">
        <v>49</v>
      </c>
      <c r="G225" s="1">
        <v>3422794</v>
      </c>
      <c r="H225" s="1">
        <v>3429086</v>
      </c>
      <c r="I225" s="1">
        <v>3402818</v>
      </c>
      <c r="J225" s="1">
        <v>3352651</v>
      </c>
      <c r="K225" s="1">
        <v>3292224</v>
      </c>
      <c r="L225" s="1">
        <v>3117012</v>
      </c>
      <c r="M225" s="1">
        <v>2953750</v>
      </c>
      <c r="N225" s="1">
        <v>2790265</v>
      </c>
      <c r="O225" s="2">
        <v>181034</v>
      </c>
      <c r="P225" s="3">
        <v>18.9069</v>
      </c>
      <c r="Q225" s="3">
        <v>0.999</v>
      </c>
      <c r="R225">
        <v>0.04</v>
      </c>
    </row>
    <row r="226" spans="2:18" x14ac:dyDescent="0.35">
      <c r="B226">
        <v>43</v>
      </c>
      <c r="C226" t="s">
        <v>688</v>
      </c>
      <c r="D226" t="s">
        <v>689</v>
      </c>
      <c r="E226" t="s">
        <v>690</v>
      </c>
      <c r="F226" t="s">
        <v>20</v>
      </c>
      <c r="G226" s="1">
        <v>34627652</v>
      </c>
      <c r="H226" s="1">
        <v>33526656</v>
      </c>
      <c r="I226" s="1">
        <v>30949417</v>
      </c>
      <c r="J226" s="1">
        <v>28614227</v>
      </c>
      <c r="K226" s="1">
        <v>24925554</v>
      </c>
      <c r="L226" s="1">
        <v>20579100</v>
      </c>
      <c r="M226" s="1">
        <v>15947129</v>
      </c>
      <c r="N226" s="1">
        <v>12011361</v>
      </c>
      <c r="O226" s="2">
        <v>447400</v>
      </c>
      <c r="P226" s="3">
        <v>77.397499999999994</v>
      </c>
      <c r="Q226" s="3">
        <v>1.016</v>
      </c>
      <c r="R226">
        <v>0.43</v>
      </c>
    </row>
    <row r="227" spans="2:18" x14ac:dyDescent="0.35">
      <c r="B227">
        <v>181</v>
      </c>
      <c r="C227" t="s">
        <v>691</v>
      </c>
      <c r="D227" t="s">
        <v>692</v>
      </c>
      <c r="E227" t="s">
        <v>693</v>
      </c>
      <c r="F227" t="s">
        <v>32</v>
      </c>
      <c r="G227" s="1">
        <v>326740</v>
      </c>
      <c r="H227" s="1">
        <v>311685</v>
      </c>
      <c r="I227" s="1">
        <v>276438</v>
      </c>
      <c r="J227" s="1">
        <v>245453</v>
      </c>
      <c r="K227" s="1">
        <v>192074</v>
      </c>
      <c r="L227" s="1">
        <v>150882</v>
      </c>
      <c r="M227" s="1">
        <v>118156</v>
      </c>
      <c r="N227" s="1">
        <v>87019</v>
      </c>
      <c r="O227" s="2">
        <v>12189</v>
      </c>
      <c r="P227" s="3">
        <v>26.806100000000001</v>
      </c>
      <c r="Q227" s="3">
        <v>1.0238</v>
      </c>
      <c r="R227">
        <v>0</v>
      </c>
    </row>
    <row r="228" spans="2:18" x14ac:dyDescent="0.35">
      <c r="B228">
        <v>234</v>
      </c>
      <c r="C228" t="s">
        <v>694</v>
      </c>
      <c r="D228" t="s">
        <v>695</v>
      </c>
      <c r="E228" t="s">
        <v>695</v>
      </c>
      <c r="F228" t="s">
        <v>24</v>
      </c>
      <c r="G228" s="1">
        <v>510</v>
      </c>
      <c r="H228" s="1">
        <v>520</v>
      </c>
      <c r="I228" s="1">
        <v>564</v>
      </c>
      <c r="J228" s="1">
        <v>596</v>
      </c>
      <c r="K228" s="1">
        <v>651</v>
      </c>
      <c r="L228" s="1">
        <v>700</v>
      </c>
      <c r="M228" s="1">
        <v>733</v>
      </c>
      <c r="N228" s="1">
        <v>752</v>
      </c>
      <c r="O228" s="2">
        <v>1</v>
      </c>
      <c r="P228" s="3">
        <v>510</v>
      </c>
      <c r="Q228" s="3">
        <v>0.998</v>
      </c>
      <c r="R228">
        <v>0</v>
      </c>
    </row>
    <row r="229" spans="2:18" x14ac:dyDescent="0.35">
      <c r="B229">
        <v>51</v>
      </c>
      <c r="C229" t="s">
        <v>696</v>
      </c>
      <c r="D229" t="s">
        <v>697</v>
      </c>
      <c r="E229" t="s">
        <v>698</v>
      </c>
      <c r="F229" t="s">
        <v>49</v>
      </c>
      <c r="G229" s="1">
        <v>28301696</v>
      </c>
      <c r="H229" s="1">
        <v>28490453</v>
      </c>
      <c r="I229" s="1">
        <v>30529716</v>
      </c>
      <c r="J229" s="1">
        <v>28715022</v>
      </c>
      <c r="K229" s="1">
        <v>24427729</v>
      </c>
      <c r="L229" s="1">
        <v>19750579</v>
      </c>
      <c r="M229" s="1">
        <v>15210443</v>
      </c>
      <c r="N229" s="1">
        <v>11355475</v>
      </c>
      <c r="O229" s="2">
        <v>916445</v>
      </c>
      <c r="P229" s="3">
        <v>30.882000000000001</v>
      </c>
      <c r="Q229" s="3">
        <v>1.0036</v>
      </c>
      <c r="R229">
        <v>0.35</v>
      </c>
    </row>
    <row r="230" spans="2:18" x14ac:dyDescent="0.35">
      <c r="B230">
        <v>16</v>
      </c>
      <c r="C230" t="s">
        <v>699</v>
      </c>
      <c r="D230" t="s">
        <v>700</v>
      </c>
      <c r="E230" t="s">
        <v>701</v>
      </c>
      <c r="F230" t="s">
        <v>20</v>
      </c>
      <c r="G230" s="1">
        <v>98186856</v>
      </c>
      <c r="H230" s="1">
        <v>96648685</v>
      </c>
      <c r="I230" s="1">
        <v>92191398</v>
      </c>
      <c r="J230" s="1">
        <v>87411012</v>
      </c>
      <c r="K230" s="1">
        <v>79001142</v>
      </c>
      <c r="L230" s="1">
        <v>66912613</v>
      </c>
      <c r="M230" s="1">
        <v>52968270</v>
      </c>
      <c r="N230" s="1">
        <v>41928849</v>
      </c>
      <c r="O230" s="2">
        <v>331212</v>
      </c>
      <c r="P230" s="3">
        <v>296.44720000000001</v>
      </c>
      <c r="Q230" s="3">
        <v>1.0074000000000001</v>
      </c>
      <c r="R230">
        <v>1.23</v>
      </c>
    </row>
    <row r="231" spans="2:18" x14ac:dyDescent="0.35">
      <c r="B231">
        <v>226</v>
      </c>
      <c r="C231" t="s">
        <v>702</v>
      </c>
      <c r="D231" t="s">
        <v>703</v>
      </c>
      <c r="E231" t="s">
        <v>704</v>
      </c>
      <c r="F231" t="s">
        <v>32</v>
      </c>
      <c r="G231" s="1">
        <v>11572</v>
      </c>
      <c r="H231" s="1">
        <v>11655</v>
      </c>
      <c r="I231" s="1">
        <v>12182</v>
      </c>
      <c r="J231" s="1">
        <v>13142</v>
      </c>
      <c r="K231" s="1">
        <v>14723</v>
      </c>
      <c r="L231" s="1">
        <v>13454</v>
      </c>
      <c r="M231" s="1">
        <v>11315</v>
      </c>
      <c r="N231" s="1">
        <v>9377</v>
      </c>
      <c r="O231" s="2">
        <v>142</v>
      </c>
      <c r="P231" s="3">
        <v>81.492999999999995</v>
      </c>
      <c r="Q231" s="3">
        <v>0.99529999999999996</v>
      </c>
      <c r="R231">
        <v>0</v>
      </c>
    </row>
    <row r="232" spans="2:18" x14ac:dyDescent="0.35">
      <c r="B232">
        <v>172</v>
      </c>
      <c r="C232" t="s">
        <v>705</v>
      </c>
      <c r="D232" t="s">
        <v>706</v>
      </c>
      <c r="E232" t="s">
        <v>707</v>
      </c>
      <c r="F232" t="s">
        <v>28</v>
      </c>
      <c r="G232" s="1">
        <v>575986</v>
      </c>
      <c r="H232" s="1">
        <v>556048</v>
      </c>
      <c r="I232" s="1">
        <v>491824</v>
      </c>
      <c r="J232" s="1">
        <v>413296</v>
      </c>
      <c r="K232" s="1">
        <v>270375</v>
      </c>
      <c r="L232" s="1">
        <v>178529</v>
      </c>
      <c r="M232" s="1">
        <v>116775</v>
      </c>
      <c r="N232" s="1">
        <v>76371</v>
      </c>
      <c r="O232" s="2">
        <v>266000</v>
      </c>
      <c r="P232" s="3">
        <v>2.1654</v>
      </c>
      <c r="Q232" s="3">
        <v>1.0184</v>
      </c>
      <c r="R232">
        <v>0.01</v>
      </c>
    </row>
    <row r="233" spans="2:18" x14ac:dyDescent="0.35">
      <c r="B233">
        <v>46</v>
      </c>
      <c r="C233" t="s">
        <v>708</v>
      </c>
      <c r="D233" t="s">
        <v>709</v>
      </c>
      <c r="E233" t="s">
        <v>710</v>
      </c>
      <c r="F233" t="s">
        <v>20</v>
      </c>
      <c r="G233" s="1">
        <v>33696614</v>
      </c>
      <c r="H233" s="1">
        <v>32284046</v>
      </c>
      <c r="I233" s="1">
        <v>28516545</v>
      </c>
      <c r="J233" s="1">
        <v>24743946</v>
      </c>
      <c r="K233" s="1">
        <v>18628700</v>
      </c>
      <c r="L233" s="1">
        <v>13375121</v>
      </c>
      <c r="M233" s="1">
        <v>9204938</v>
      </c>
      <c r="N233" s="1">
        <v>6843607</v>
      </c>
      <c r="O233" s="2">
        <v>527968</v>
      </c>
      <c r="P233" s="3">
        <v>63.8232</v>
      </c>
      <c r="Q233" s="3">
        <v>1.0217000000000001</v>
      </c>
      <c r="R233">
        <v>0.42</v>
      </c>
    </row>
    <row r="234" spans="2:18" x14ac:dyDescent="0.35">
      <c r="B234">
        <v>63</v>
      </c>
      <c r="C234" t="s">
        <v>711</v>
      </c>
      <c r="D234" t="s">
        <v>712</v>
      </c>
      <c r="E234" t="s">
        <v>713</v>
      </c>
      <c r="F234" t="s">
        <v>28</v>
      </c>
      <c r="G234" s="1">
        <v>20017675</v>
      </c>
      <c r="H234" s="1">
        <v>18927715</v>
      </c>
      <c r="I234" s="1">
        <v>16248230</v>
      </c>
      <c r="J234" s="1">
        <v>13792086</v>
      </c>
      <c r="K234" s="1">
        <v>9891136</v>
      </c>
      <c r="L234" s="1">
        <v>7686401</v>
      </c>
      <c r="M234" s="1">
        <v>5720438</v>
      </c>
      <c r="N234" s="1">
        <v>4281671</v>
      </c>
      <c r="O234" s="2">
        <v>752612</v>
      </c>
      <c r="P234" s="3">
        <v>26.5976</v>
      </c>
      <c r="Q234" s="3">
        <v>1.028</v>
      </c>
      <c r="R234">
        <v>0.25</v>
      </c>
    </row>
    <row r="235" spans="2:18" x14ac:dyDescent="0.35">
      <c r="B235">
        <v>74</v>
      </c>
      <c r="C235" t="s">
        <v>714</v>
      </c>
      <c r="D235" t="s">
        <v>715</v>
      </c>
      <c r="E235" t="s">
        <v>716</v>
      </c>
      <c r="F235" t="s">
        <v>28</v>
      </c>
      <c r="G235" s="1">
        <v>16320537</v>
      </c>
      <c r="H235" s="1">
        <v>15669666</v>
      </c>
      <c r="I235" s="1">
        <v>14154937</v>
      </c>
      <c r="J235" s="1">
        <v>12839771</v>
      </c>
      <c r="K235" s="1">
        <v>11834676</v>
      </c>
      <c r="L235" s="1">
        <v>10113893</v>
      </c>
      <c r="M235" s="1">
        <v>7049926</v>
      </c>
      <c r="N235" s="1">
        <v>5202918</v>
      </c>
      <c r="O235" s="2">
        <v>390757</v>
      </c>
      <c r="P235" s="3">
        <v>41.766500000000001</v>
      </c>
      <c r="Q235" s="3">
        <v>1.0204</v>
      </c>
      <c r="R235">
        <v>0.2</v>
      </c>
    </row>
  </sheetData>
  <sheetProtection algorithmName="SHA-512" hashValue="VHaiHTzLBtMQAn4c0jqN6iElp1AAO3rnlCQKkIup5yxdAvYky0NIA9RjUOkfoPGIRdNIjK9fo+qvAjnrMKiDqA==" saltValue="vbYnVGeJQNwSpCpyQEV4tQ==" spinCount="100000" sheet="1" objects="1" scenarios="1"/>
  <pageMargins left="0.7" right="0.7" top="0.75" bottom="0.75" header="0.3" footer="0.3"/>
  <drawing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62EE86-5F2D-41E3-A047-AC7F6D691C46}">
  <sheetPr codeName="Sheet4"/>
  <dimension ref="B1:W488"/>
  <sheetViews>
    <sheetView showRowColHeaders="0" tabSelected="1" zoomScale="42" zoomScaleNormal="100" workbookViewId="0"/>
  </sheetViews>
  <sheetFormatPr defaultRowHeight="14.5" x14ac:dyDescent="0.35"/>
  <cols>
    <col min="1" max="1" width="8.7265625" style="6"/>
    <col min="2" max="2" width="14.90625" style="6" bestFit="1" customWidth="1"/>
    <col min="3" max="10" width="20.90625" style="7" bestFit="1" customWidth="1"/>
    <col min="11" max="11" width="16" style="6" customWidth="1"/>
    <col min="12" max="12" width="13" style="6" bestFit="1" customWidth="1"/>
    <col min="13" max="13" width="18.81640625" style="6" bestFit="1" customWidth="1"/>
    <col min="14" max="14" width="22.26953125" style="6" bestFit="1" customWidth="1"/>
    <col min="15" max="15" width="14.90625" style="6" bestFit="1" customWidth="1"/>
    <col min="16" max="16" width="17.7265625" style="6" bestFit="1" customWidth="1"/>
    <col min="17" max="17" width="19" style="6" bestFit="1" customWidth="1"/>
    <col min="18" max="18" width="7.26953125" style="6" bestFit="1" customWidth="1"/>
    <col min="19" max="19" width="6.54296875" style="6" bestFit="1" customWidth="1"/>
    <col min="20" max="20" width="14.90625" style="6" bestFit="1" customWidth="1"/>
    <col min="21" max="21" width="32.1796875" style="6" bestFit="1" customWidth="1"/>
    <col min="22" max="22" width="10.26953125" style="6" customWidth="1"/>
    <col min="23" max="24" width="6.54296875" style="6" customWidth="1"/>
    <col min="25" max="143" width="6.54296875" style="6" bestFit="1" customWidth="1"/>
    <col min="144" max="222" width="7.54296875" style="6" bestFit="1" customWidth="1"/>
    <col min="223" max="234" width="8.54296875" style="6" bestFit="1" customWidth="1"/>
    <col min="235" max="236" width="9.54296875" style="6" bestFit="1" customWidth="1"/>
    <col min="237" max="237" width="10.7265625" style="6" bestFit="1" customWidth="1"/>
    <col min="238" max="16384" width="8.7265625" style="6"/>
  </cols>
  <sheetData>
    <row r="1" spans="2:23" ht="33.5" customHeight="1" x14ac:dyDescent="0.55000000000000004">
      <c r="B1" s="18" t="s">
        <v>727</v>
      </c>
      <c r="C1" s="19"/>
    </row>
    <row r="2" spans="2:23" ht="26" x14ac:dyDescent="0.6">
      <c r="B2" s="6" t="s">
        <v>717</v>
      </c>
      <c r="C2" s="7" t="s">
        <v>719</v>
      </c>
      <c r="D2" s="7" t="s">
        <v>720</v>
      </c>
      <c r="E2" s="7" t="s">
        <v>721</v>
      </c>
      <c r="F2" s="7" t="s">
        <v>722</v>
      </c>
      <c r="G2" s="7" t="s">
        <v>723</v>
      </c>
      <c r="H2" s="7" t="s">
        <v>724</v>
      </c>
      <c r="I2" s="7" t="s">
        <v>725</v>
      </c>
      <c r="J2" s="7" t="s">
        <v>726</v>
      </c>
      <c r="L2" s="18" t="s">
        <v>730</v>
      </c>
      <c r="M2" s="19"/>
      <c r="O2" s="20" t="s">
        <v>732</v>
      </c>
      <c r="P2" s="19"/>
      <c r="R2" s="7"/>
      <c r="S2" s="7"/>
      <c r="T2" s="21" t="s">
        <v>733</v>
      </c>
      <c r="U2" s="19"/>
    </row>
    <row r="3" spans="2:23" x14ac:dyDescent="0.35">
      <c r="B3" s="8" t="s">
        <v>28</v>
      </c>
      <c r="C3" s="7">
        <v>1426730932</v>
      </c>
      <c r="D3" s="7">
        <v>1360671810</v>
      </c>
      <c r="E3" s="7">
        <v>1201102442</v>
      </c>
      <c r="F3" s="7">
        <v>1055228072</v>
      </c>
      <c r="G3" s="7">
        <v>818946032</v>
      </c>
      <c r="H3" s="7">
        <v>638150629</v>
      </c>
      <c r="I3" s="7">
        <v>481536377</v>
      </c>
      <c r="J3" s="7">
        <v>365444348</v>
      </c>
      <c r="L3" s="6" t="s">
        <v>717</v>
      </c>
      <c r="M3" s="9" t="s">
        <v>728</v>
      </c>
      <c r="O3" s="6" t="s">
        <v>717</v>
      </c>
      <c r="P3" s="10" t="s">
        <v>729</v>
      </c>
      <c r="Q3" s="6" t="s">
        <v>731</v>
      </c>
      <c r="R3" s="7"/>
      <c r="S3" s="7"/>
      <c r="T3" s="6" t="s">
        <v>717</v>
      </c>
      <c r="U3" s="6" t="s">
        <v>734</v>
      </c>
    </row>
    <row r="4" spans="2:23" x14ac:dyDescent="0.35">
      <c r="B4" s="8" t="s">
        <v>20</v>
      </c>
      <c r="C4" s="7">
        <v>4721383274</v>
      </c>
      <c r="D4" s="7">
        <v>4663086535</v>
      </c>
      <c r="E4" s="7">
        <v>4458250182</v>
      </c>
      <c r="F4" s="7">
        <v>4220041327</v>
      </c>
      <c r="G4" s="7">
        <v>3735089604</v>
      </c>
      <c r="H4" s="7">
        <v>3210563577</v>
      </c>
      <c r="I4" s="7">
        <v>2635334228</v>
      </c>
      <c r="J4" s="7">
        <v>2144906290</v>
      </c>
      <c r="L4" s="8" t="s">
        <v>28</v>
      </c>
      <c r="M4" s="9">
        <v>58.210899999999995</v>
      </c>
      <c r="O4" s="8" t="s">
        <v>28</v>
      </c>
      <c r="P4" s="10">
        <v>7127.7157999999981</v>
      </c>
      <c r="Q4" s="10">
        <v>30317963</v>
      </c>
      <c r="R4" s="7">
        <f>GETPIVOTDATA("Sum of Area (kmÂ²)",$O$3,"Continent","Africa")</f>
        <v>30317963</v>
      </c>
      <c r="S4" s="7">
        <f>GETPIVOTDATA("Sum of Density (per kmÂ²)",$O$3,"Continent","Africa")</f>
        <v>7127.7157999999981</v>
      </c>
      <c r="T4" s="8" t="s">
        <v>28</v>
      </c>
      <c r="U4" s="6">
        <v>17.869999999999994</v>
      </c>
      <c r="V4" s="7">
        <f t="shared" ref="V4:V9" si="0">SUM(C3:J3)</f>
        <v>7347810642</v>
      </c>
      <c r="W4" s="6">
        <f>GETPIVOTDATA("World Population Percentage",$T$3,"Continent","Africa")</f>
        <v>17.869999999999994</v>
      </c>
    </row>
    <row r="5" spans="2:23" x14ac:dyDescent="0.35">
      <c r="B5" s="8" t="s">
        <v>24</v>
      </c>
      <c r="C5" s="7">
        <v>743147538</v>
      </c>
      <c r="D5" s="7">
        <v>745792196</v>
      </c>
      <c r="E5" s="7">
        <v>741535608</v>
      </c>
      <c r="F5" s="7">
        <v>735613934</v>
      </c>
      <c r="G5" s="7">
        <v>726093423</v>
      </c>
      <c r="H5" s="7">
        <v>720320797</v>
      </c>
      <c r="I5" s="7">
        <v>692527159</v>
      </c>
      <c r="J5" s="7">
        <v>655923991</v>
      </c>
      <c r="L5" s="8" t="s">
        <v>20</v>
      </c>
      <c r="M5" s="9">
        <v>50.469199999999987</v>
      </c>
      <c r="O5" s="8" t="s">
        <v>20</v>
      </c>
      <c r="P5" s="10">
        <v>51251.206800000007</v>
      </c>
      <c r="Q5" s="10">
        <v>32138141</v>
      </c>
      <c r="R5" s="7">
        <f>GETPIVOTDATA("Sum of Area (kmÂ²)",$O$3,"Continent","Asia")</f>
        <v>32138141</v>
      </c>
      <c r="S5" s="7">
        <f>GETPIVOTDATA("Sum of Density (per kmÂ²)",$O$3,"Continent","Asia")</f>
        <v>51251.206800000007</v>
      </c>
      <c r="T5" s="8" t="s">
        <v>20</v>
      </c>
      <c r="U5" s="6">
        <v>59.190000000000005</v>
      </c>
      <c r="V5" s="7">
        <f t="shared" si="0"/>
        <v>29788655017</v>
      </c>
      <c r="W5" s="6">
        <f>GETPIVOTDATA("World Population Percentage",$T$3,"Continent","Asia")</f>
        <v>59.190000000000005</v>
      </c>
    </row>
    <row r="6" spans="2:23" x14ac:dyDescent="0.35">
      <c r="B6" s="8" t="s">
        <v>42</v>
      </c>
      <c r="C6" s="7">
        <v>600296136</v>
      </c>
      <c r="D6" s="7">
        <v>594236593</v>
      </c>
      <c r="E6" s="7">
        <v>570383850</v>
      </c>
      <c r="F6" s="7">
        <v>542720651</v>
      </c>
      <c r="G6" s="7">
        <v>486069584</v>
      </c>
      <c r="H6" s="7">
        <v>421266425</v>
      </c>
      <c r="I6" s="7">
        <v>368293361</v>
      </c>
      <c r="J6" s="7">
        <v>315434606</v>
      </c>
      <c r="L6" s="8" t="s">
        <v>24</v>
      </c>
      <c r="M6" s="9">
        <v>50.112799999999986</v>
      </c>
      <c r="O6" s="8" t="s">
        <v>24</v>
      </c>
      <c r="P6" s="10">
        <v>33166.237099999991</v>
      </c>
      <c r="Q6" s="10">
        <v>23010411</v>
      </c>
      <c r="R6" s="7">
        <f>GETPIVOTDATA("Sum of Area (kmÂ²)",$O$3,"Continent","Europe")</f>
        <v>23010411</v>
      </c>
      <c r="S6" s="7">
        <f>GETPIVOTDATA("Sum of Density (per kmÂ²)",$O$3,"Continent","Europe")</f>
        <v>33166.237099999991</v>
      </c>
      <c r="T6" s="8" t="s">
        <v>24</v>
      </c>
      <c r="U6" s="6">
        <v>9.3299999999999983</v>
      </c>
      <c r="V6" s="7">
        <f t="shared" si="0"/>
        <v>5760954646</v>
      </c>
      <c r="W6" s="6">
        <f>GETPIVOTDATA("World Population Percentage",$T$3,"Continent","Europe")</f>
        <v>9.3299999999999983</v>
      </c>
    </row>
    <row r="7" spans="2:23" x14ac:dyDescent="0.35">
      <c r="B7" s="8" t="s">
        <v>718</v>
      </c>
      <c r="C7" s="7">
        <v>7491557880</v>
      </c>
      <c r="D7" s="7">
        <v>7363787134</v>
      </c>
      <c r="E7" s="7">
        <v>6971272082</v>
      </c>
      <c r="F7" s="7">
        <v>6553603984</v>
      </c>
      <c r="G7" s="7">
        <v>5766198643</v>
      </c>
      <c r="H7" s="7">
        <v>4990301428</v>
      </c>
      <c r="I7" s="7">
        <v>4177691125</v>
      </c>
      <c r="J7" s="7">
        <v>3481709235</v>
      </c>
      <c r="L7" s="8" t="s">
        <v>42</v>
      </c>
      <c r="M7" s="9">
        <v>40.167000000000002</v>
      </c>
      <c r="O7" s="8" t="s">
        <v>42</v>
      </c>
      <c r="P7" s="10">
        <v>10910.470300000001</v>
      </c>
      <c r="Q7" s="10">
        <v>24244178</v>
      </c>
      <c r="R7" s="7">
        <f>GETPIVOTDATA("Sum of Area (kmÂ²)",$O$3,"Continent","North America")</f>
        <v>24244178</v>
      </c>
      <c r="S7" s="7">
        <f>GETPIVOTDATA("Sum of Density (per kmÂ²)",$O$3,"Continent","North America")</f>
        <v>10910.470300000001</v>
      </c>
      <c r="T7" s="8" t="s">
        <v>42</v>
      </c>
      <c r="U7" s="6">
        <v>7.51</v>
      </c>
      <c r="V7" s="7">
        <f t="shared" si="0"/>
        <v>3898701206</v>
      </c>
      <c r="W7" s="6">
        <f>GETPIVOTDATA("World Population Percentage",$T$3,"Continent","North America")</f>
        <v>7.51</v>
      </c>
    </row>
    <row r="8" spans="2:23" x14ac:dyDescent="0.35">
      <c r="C8" s="6"/>
      <c r="D8" s="6"/>
      <c r="E8" s="6"/>
      <c r="F8" s="6"/>
      <c r="G8" s="6"/>
      <c r="H8" s="6"/>
      <c r="I8" s="6"/>
      <c r="J8" s="6"/>
      <c r="L8" s="8" t="s">
        <v>32</v>
      </c>
      <c r="M8" s="9">
        <v>23.169800000000002</v>
      </c>
      <c r="O8" s="8" t="s">
        <v>718</v>
      </c>
      <c r="P8" s="10">
        <v>102455.62999999999</v>
      </c>
      <c r="Q8" s="10">
        <v>109710693</v>
      </c>
      <c r="R8" s="7" t="e">
        <f>GETPIVOTDATA("Sum of Area (kmÂ²)",$O$3,"Continent","Oceania")</f>
        <v>#REF!</v>
      </c>
      <c r="S8" s="7" t="e">
        <f>GETPIVOTDATA("Sum of Density (per kmÂ²)",$O$3,"Continent","Oceania")</f>
        <v>#REF!</v>
      </c>
      <c r="T8" s="8" t="s">
        <v>718</v>
      </c>
      <c r="U8" s="6">
        <v>93.9</v>
      </c>
      <c r="V8" s="7">
        <f t="shared" si="0"/>
        <v>46796121511</v>
      </c>
      <c r="W8" s="6" t="e">
        <f>GETPIVOTDATA("World Population Percentage",$T$3,"Continent","Oceania")</f>
        <v>#REF!</v>
      </c>
    </row>
    <row r="9" spans="2:23" x14ac:dyDescent="0.35">
      <c r="C9" s="6"/>
      <c r="D9" s="6"/>
      <c r="E9" s="6"/>
      <c r="F9" s="6"/>
      <c r="G9" s="6"/>
      <c r="H9" s="6"/>
      <c r="I9" s="6"/>
      <c r="J9" s="6"/>
      <c r="L9" s="8" t="s">
        <v>49</v>
      </c>
      <c r="M9" s="9">
        <v>14.111400000000001</v>
      </c>
      <c r="R9" s="7" t="e">
        <f>GETPIVOTDATA("Sum of Area (kmÂ²)",$O$3,"Continent","South America")</f>
        <v>#REF!</v>
      </c>
      <c r="S9" s="7" t="e">
        <f>GETPIVOTDATA("Sum of Density (per kmÂ²)",$O$3,"Continent","South America")</f>
        <v>#REF!</v>
      </c>
      <c r="V9" s="7">
        <f t="shared" si="0"/>
        <v>0</v>
      </c>
      <c r="W9" s="6" t="e">
        <f>GETPIVOTDATA("World Population Percentage",$T$3,"Continent","South America")</f>
        <v>#REF!</v>
      </c>
    </row>
    <row r="10" spans="2:23" x14ac:dyDescent="0.35">
      <c r="C10" s="6"/>
      <c r="D10" s="6"/>
      <c r="E10" s="6"/>
      <c r="F10" s="6"/>
      <c r="G10" s="6"/>
      <c r="H10" s="6"/>
      <c r="I10" s="6"/>
      <c r="J10" s="6"/>
      <c r="L10" s="8" t="s">
        <v>718</v>
      </c>
      <c r="M10" s="9">
        <v>236.24109999999999</v>
      </c>
      <c r="R10" s="7"/>
      <c r="S10" s="7"/>
    </row>
    <row r="11" spans="2:23" x14ac:dyDescent="0.35">
      <c r="C11" s="6"/>
      <c r="D11" s="6"/>
      <c r="E11" s="6"/>
      <c r="F11" s="6"/>
      <c r="G11" s="6"/>
      <c r="H11" s="6"/>
      <c r="I11" s="6"/>
      <c r="J11" s="6"/>
    </row>
    <row r="12" spans="2:23" ht="28" customHeight="1" x14ac:dyDescent="0.35">
      <c r="C12" s="6"/>
      <c r="D12" s="6"/>
      <c r="E12" s="6"/>
      <c r="F12" s="6"/>
      <c r="G12" s="6"/>
      <c r="H12" s="6"/>
      <c r="I12" s="6"/>
      <c r="J12" s="6"/>
      <c r="Q12" s="11">
        <f>GETPIVOTDATA("Sum of Area (kmÂ²)",$O$3)</f>
        <v>109710693</v>
      </c>
      <c r="U12" s="12">
        <f>GETPIVOTDATA("World Population Percentage",$T$3)</f>
        <v>93.9</v>
      </c>
    </row>
    <row r="13" spans="2:23" x14ac:dyDescent="0.35">
      <c r="C13" s="6"/>
      <c r="D13" s="6"/>
      <c r="E13" s="6"/>
      <c r="F13" s="6"/>
      <c r="G13" s="6"/>
      <c r="H13" s="6"/>
      <c r="I13" s="6"/>
      <c r="J13" s="6"/>
      <c r="M13" s="13">
        <f>GETPIVOTDATA("Growth Rate",$P$15)</f>
        <v>198.95989999999998</v>
      </c>
    </row>
    <row r="14" spans="2:23" x14ac:dyDescent="0.35">
      <c r="C14" s="6"/>
      <c r="D14" s="6"/>
      <c r="E14" s="6"/>
      <c r="F14" s="6"/>
      <c r="G14" s="6"/>
      <c r="H14" s="6"/>
      <c r="I14" s="6"/>
      <c r="J14" s="6"/>
      <c r="K14" s="14"/>
      <c r="L14" s="14"/>
    </row>
    <row r="15" spans="2:23" x14ac:dyDescent="0.35">
      <c r="C15" s="6"/>
      <c r="D15" s="6"/>
      <c r="E15" s="6"/>
      <c r="F15" s="6"/>
      <c r="G15" s="6"/>
      <c r="H15" s="6"/>
      <c r="I15" s="6"/>
      <c r="J15" s="6"/>
      <c r="K15" s="15"/>
      <c r="L15" s="14"/>
      <c r="P15" s="6" t="s">
        <v>717</v>
      </c>
      <c r="Q15" s="9" t="s">
        <v>728</v>
      </c>
    </row>
    <row r="16" spans="2:23" x14ac:dyDescent="0.35">
      <c r="C16" s="16">
        <f>GETPIVOTDATA("Sum of 2022 Population",$B$2)</f>
        <v>7491557880</v>
      </c>
      <c r="D16" s="6"/>
      <c r="E16" s="6"/>
      <c r="F16" s="6"/>
      <c r="G16" s="6"/>
      <c r="H16" s="6"/>
      <c r="I16" s="6"/>
      <c r="J16" s="6"/>
      <c r="K16" s="14"/>
      <c r="L16" s="14"/>
      <c r="P16" s="8" t="s">
        <v>28</v>
      </c>
      <c r="Q16" s="9">
        <v>58.210900000000002</v>
      </c>
    </row>
    <row r="17" spans="3:17" x14ac:dyDescent="0.35">
      <c r="C17" s="6"/>
      <c r="D17" s="6"/>
      <c r="E17" s="6"/>
      <c r="F17" s="6"/>
      <c r="G17" s="6"/>
      <c r="H17" s="6"/>
      <c r="I17" s="6"/>
      <c r="J17" s="6"/>
      <c r="K17" s="14"/>
      <c r="L17" s="14"/>
      <c r="P17" s="17" t="s">
        <v>467</v>
      </c>
      <c r="Q17" s="9">
        <v>1.0241</v>
      </c>
    </row>
    <row r="18" spans="3:17" x14ac:dyDescent="0.35">
      <c r="C18" s="6"/>
      <c r="D18" s="6"/>
      <c r="E18" s="6"/>
      <c r="F18" s="6"/>
      <c r="G18" s="6"/>
      <c r="H18" s="6"/>
      <c r="I18" s="6"/>
      <c r="J18" s="6"/>
      <c r="K18" s="14"/>
      <c r="L18" s="14"/>
      <c r="P18" s="17" t="s">
        <v>249</v>
      </c>
      <c r="Q18" s="9">
        <v>1.0196000000000001</v>
      </c>
    </row>
    <row r="19" spans="3:17" x14ac:dyDescent="0.35">
      <c r="C19" s="6"/>
      <c r="D19" s="6"/>
      <c r="E19" s="6"/>
      <c r="F19" s="6"/>
      <c r="G19" s="6"/>
      <c r="H19" s="6"/>
      <c r="I19" s="6"/>
      <c r="J19" s="6" t="s">
        <v>735</v>
      </c>
      <c r="K19" s="14"/>
      <c r="L19" s="14"/>
      <c r="P19" s="17" t="s">
        <v>213</v>
      </c>
      <c r="Q19" s="9">
        <v>1.0257000000000001</v>
      </c>
    </row>
    <row r="20" spans="3:17" x14ac:dyDescent="0.35">
      <c r="C20" s="6"/>
      <c r="D20" s="6"/>
      <c r="E20" s="6"/>
      <c r="F20" s="6"/>
      <c r="G20" s="6"/>
      <c r="H20" s="6"/>
      <c r="I20" s="6"/>
      <c r="J20" s="6"/>
      <c r="P20" s="17" t="s">
        <v>27</v>
      </c>
      <c r="Q20" s="9">
        <v>1.0164</v>
      </c>
    </row>
    <row r="21" spans="3:17" x14ac:dyDescent="0.35">
      <c r="C21" s="6"/>
      <c r="D21" s="6"/>
      <c r="E21" s="6"/>
      <c r="F21" s="6"/>
      <c r="G21" s="6"/>
      <c r="H21" s="6"/>
      <c r="I21" s="6"/>
      <c r="J21" s="6"/>
      <c r="P21" s="17" t="s">
        <v>381</v>
      </c>
      <c r="Q21" s="9">
        <v>1.0241</v>
      </c>
    </row>
    <row r="22" spans="3:17" x14ac:dyDescent="0.35">
      <c r="C22" s="6"/>
      <c r="D22" s="6"/>
      <c r="E22" s="6"/>
      <c r="F22" s="16"/>
      <c r="G22" s="6"/>
      <c r="H22" s="6"/>
      <c r="I22" s="6"/>
      <c r="J22" s="6"/>
      <c r="P22" s="17" t="s">
        <v>204</v>
      </c>
      <c r="Q22" s="9">
        <v>1.0176000000000001</v>
      </c>
    </row>
    <row r="23" spans="3:17" x14ac:dyDescent="0.35">
      <c r="C23" s="6"/>
      <c r="D23" s="6"/>
      <c r="E23" s="6"/>
      <c r="F23" s="6"/>
      <c r="G23" s="6"/>
      <c r="H23" s="6"/>
      <c r="I23" s="6"/>
      <c r="J23" s="6"/>
      <c r="P23" s="17" t="s">
        <v>393</v>
      </c>
      <c r="Q23" s="9">
        <v>1.0314000000000001</v>
      </c>
    </row>
    <row r="24" spans="3:17" x14ac:dyDescent="0.35">
      <c r="C24" s="6"/>
      <c r="D24" s="6"/>
      <c r="E24" s="6"/>
      <c r="F24" s="6"/>
      <c r="G24" s="6"/>
      <c r="H24" s="6"/>
      <c r="I24" s="6"/>
      <c r="J24" s="6"/>
      <c r="P24" s="17" t="s">
        <v>139</v>
      </c>
      <c r="Q24" s="9">
        <v>1.0224</v>
      </c>
    </row>
    <row r="25" spans="3:17" x14ac:dyDescent="0.35">
      <c r="C25" s="6"/>
      <c r="D25" s="6"/>
      <c r="E25" s="6"/>
      <c r="F25" s="6"/>
      <c r="G25" s="6"/>
      <c r="H25" s="6"/>
      <c r="I25" s="6"/>
      <c r="J25" s="6"/>
      <c r="P25" s="17" t="s">
        <v>240</v>
      </c>
      <c r="Q25" s="9">
        <v>1.0249999999999999</v>
      </c>
    </row>
    <row r="26" spans="3:17" x14ac:dyDescent="0.35">
      <c r="C26" s="6"/>
      <c r="D26" s="6"/>
      <c r="E26" s="6"/>
      <c r="F26" s="6"/>
      <c r="G26" s="6"/>
      <c r="H26" s="6"/>
      <c r="I26" s="6"/>
      <c r="J26" s="6"/>
      <c r="P26" s="17" t="s">
        <v>278</v>
      </c>
      <c r="Q26" s="9">
        <v>1.0218</v>
      </c>
    </row>
    <row r="27" spans="3:17" x14ac:dyDescent="0.35">
      <c r="C27" s="6"/>
      <c r="D27" s="6"/>
      <c r="E27" s="6"/>
      <c r="F27" s="6"/>
      <c r="G27" s="6"/>
      <c r="H27" s="6"/>
      <c r="I27" s="6"/>
      <c r="J27" s="6"/>
      <c r="P27" s="17" t="s">
        <v>524</v>
      </c>
      <c r="Q27" s="9">
        <v>1.0230999999999999</v>
      </c>
    </row>
    <row r="28" spans="3:17" x14ac:dyDescent="0.35">
      <c r="C28" s="6"/>
      <c r="D28" s="6"/>
      <c r="E28" s="6"/>
      <c r="F28" s="6"/>
      <c r="G28" s="6"/>
      <c r="H28" s="6"/>
      <c r="I28" s="6"/>
      <c r="J28" s="6"/>
      <c r="P28" s="17" t="s">
        <v>121</v>
      </c>
      <c r="Q28" s="9">
        <v>1.0269999999999999</v>
      </c>
    </row>
    <row r="29" spans="3:17" x14ac:dyDescent="0.35">
      <c r="C29" s="6"/>
      <c r="D29" s="6"/>
      <c r="E29" s="6"/>
      <c r="F29" s="6"/>
      <c r="G29" s="6"/>
      <c r="H29" s="6"/>
      <c r="I29" s="6"/>
      <c r="J29" s="6"/>
      <c r="P29" s="17" t="s">
        <v>195</v>
      </c>
      <c r="Q29" s="9">
        <v>1.0158</v>
      </c>
    </row>
    <row r="30" spans="3:17" x14ac:dyDescent="0.35">
      <c r="C30" s="6"/>
      <c r="D30" s="6"/>
      <c r="E30" s="6"/>
      <c r="F30" s="6"/>
      <c r="G30" s="6"/>
      <c r="H30" s="6"/>
      <c r="I30" s="6"/>
      <c r="J30" s="6"/>
      <c r="P30" s="17" t="s">
        <v>275</v>
      </c>
      <c r="Q30" s="9">
        <v>1.0242</v>
      </c>
    </row>
    <row r="31" spans="3:17" x14ac:dyDescent="0.35">
      <c r="C31" s="6"/>
      <c r="D31" s="6"/>
      <c r="E31" s="6"/>
      <c r="F31" s="6"/>
      <c r="G31" s="6"/>
      <c r="H31" s="6"/>
      <c r="I31" s="6"/>
      <c r="J31" s="6"/>
      <c r="P31" s="17" t="s">
        <v>568</v>
      </c>
      <c r="Q31" s="9">
        <v>1.0261</v>
      </c>
    </row>
    <row r="32" spans="3:17" x14ac:dyDescent="0.35">
      <c r="C32" s="6"/>
      <c r="D32" s="6"/>
      <c r="E32" s="6"/>
      <c r="F32" s="6"/>
      <c r="G32" s="6"/>
      <c r="H32" s="6"/>
      <c r="I32" s="6"/>
      <c r="J32" s="6"/>
      <c r="P32" s="17" t="s">
        <v>180</v>
      </c>
      <c r="Q32" s="9">
        <v>1.0138</v>
      </c>
    </row>
    <row r="33" spans="16:17" s="6" customFormat="1" x14ac:dyDescent="0.35">
      <c r="P33" s="17" t="s">
        <v>633</v>
      </c>
      <c r="Q33" s="9">
        <v>1.03</v>
      </c>
    </row>
    <row r="34" spans="16:17" s="6" customFormat="1" x14ac:dyDescent="0.35">
      <c r="P34" s="17" t="s">
        <v>707</v>
      </c>
      <c r="Q34" s="9">
        <v>1.0184</v>
      </c>
    </row>
    <row r="35" spans="16:17" s="6" customFormat="1" x14ac:dyDescent="0.35">
      <c r="P35" s="17" t="s">
        <v>577</v>
      </c>
      <c r="Q35" s="9">
        <v>1.022</v>
      </c>
    </row>
    <row r="36" spans="16:17" s="6" customFormat="1" x14ac:dyDescent="0.35">
      <c r="P36" s="17" t="s">
        <v>103</v>
      </c>
      <c r="Q36" s="9">
        <v>1.0162</v>
      </c>
    </row>
    <row r="37" spans="16:17" s="6" customFormat="1" x14ac:dyDescent="0.35">
      <c r="P37" s="17" t="s">
        <v>716</v>
      </c>
      <c r="Q37" s="9">
        <v>1.0204</v>
      </c>
    </row>
    <row r="38" spans="16:17" s="6" customFormat="1" x14ac:dyDescent="0.35">
      <c r="P38" s="17" t="s">
        <v>603</v>
      </c>
      <c r="Q38" s="9">
        <v>1.0153000000000001</v>
      </c>
    </row>
    <row r="39" spans="16:17" s="6" customFormat="1" x14ac:dyDescent="0.35">
      <c r="P39" s="17" t="s">
        <v>669</v>
      </c>
      <c r="Q39" s="9">
        <v>1.0304</v>
      </c>
    </row>
    <row r="40" spans="16:17" s="6" customFormat="1" x14ac:dyDescent="0.35">
      <c r="P40" s="17" t="s">
        <v>612</v>
      </c>
      <c r="Q40" s="9">
        <v>1.0266999999999999</v>
      </c>
    </row>
    <row r="41" spans="16:17" s="6" customFormat="1" x14ac:dyDescent="0.35">
      <c r="P41" s="17" t="s">
        <v>536</v>
      </c>
      <c r="Q41" s="9">
        <v>1.0234000000000001</v>
      </c>
    </row>
    <row r="42" spans="16:17" s="6" customFormat="1" x14ac:dyDescent="0.35">
      <c r="P42" s="17" t="s">
        <v>189</v>
      </c>
      <c r="Q42" s="9">
        <v>1.0325</v>
      </c>
    </row>
    <row r="43" spans="16:17" s="6" customFormat="1" x14ac:dyDescent="0.35">
      <c r="P43" s="17" t="s">
        <v>237</v>
      </c>
      <c r="Q43" s="9">
        <v>1.0204</v>
      </c>
    </row>
    <row r="44" spans="16:17" s="6" customFormat="1" x14ac:dyDescent="0.35">
      <c r="P44" s="17" t="s">
        <v>384</v>
      </c>
      <c r="Q44" s="9">
        <v>1.0259</v>
      </c>
    </row>
    <row r="45" spans="16:17" s="6" customFormat="1" x14ac:dyDescent="0.35">
      <c r="P45" s="17" t="s">
        <v>642</v>
      </c>
      <c r="Q45" s="9">
        <v>1.0236000000000001</v>
      </c>
    </row>
    <row r="46" spans="16:17" s="6" customFormat="1" x14ac:dyDescent="0.35">
      <c r="P46" s="17" t="s">
        <v>38</v>
      </c>
      <c r="Q46" s="9">
        <v>1.0315000000000001</v>
      </c>
    </row>
    <row r="47" spans="16:17" s="6" customFormat="1" x14ac:dyDescent="0.35">
      <c r="P47" s="17" t="s">
        <v>713</v>
      </c>
      <c r="Q47" s="9">
        <v>1.028</v>
      </c>
    </row>
    <row r="48" spans="16:17" s="6" customFormat="1" x14ac:dyDescent="0.35">
      <c r="P48" s="17" t="s">
        <v>201</v>
      </c>
      <c r="Q48" s="9">
        <v>1.0246999999999999</v>
      </c>
    </row>
    <row r="49" spans="16:17" s="6" customFormat="1" x14ac:dyDescent="0.35">
      <c r="P49" s="17" t="s">
        <v>411</v>
      </c>
      <c r="Q49" s="9">
        <v>1.0319</v>
      </c>
    </row>
    <row r="50" spans="16:17" s="6" customFormat="1" x14ac:dyDescent="0.35">
      <c r="P50" s="17" t="s">
        <v>437</v>
      </c>
      <c r="Q50" s="9">
        <v>1.0278</v>
      </c>
    </row>
    <row r="51" spans="16:17" s="6" customFormat="1" x14ac:dyDescent="0.35">
      <c r="P51" s="17" t="s">
        <v>361</v>
      </c>
      <c r="Q51" s="9">
        <v>1.0106999999999999</v>
      </c>
    </row>
    <row r="52" spans="16:17" s="6" customFormat="1" x14ac:dyDescent="0.35">
      <c r="P52" s="17" t="s">
        <v>210</v>
      </c>
      <c r="Q52" s="9">
        <v>1.0079</v>
      </c>
    </row>
    <row r="53" spans="16:17" s="6" customFormat="1" x14ac:dyDescent="0.35">
      <c r="P53" s="17" t="s">
        <v>594</v>
      </c>
      <c r="Q53" s="9">
        <v>1.0311999999999999</v>
      </c>
    </row>
    <row r="54" spans="16:17" s="6" customFormat="1" x14ac:dyDescent="0.35">
      <c r="P54" s="17" t="s">
        <v>364</v>
      </c>
      <c r="Q54" s="9">
        <v>1.0209999999999999</v>
      </c>
    </row>
    <row r="55" spans="16:17" s="6" customFormat="1" x14ac:dyDescent="0.35">
      <c r="P55" s="17" t="s">
        <v>154</v>
      </c>
      <c r="Q55" s="9">
        <v>1.0184</v>
      </c>
    </row>
    <row r="56" spans="16:17" s="6" customFormat="1" x14ac:dyDescent="0.35">
      <c r="P56" s="17" t="s">
        <v>340</v>
      </c>
      <c r="Q56" s="9">
        <v>1.0193000000000001</v>
      </c>
    </row>
    <row r="57" spans="16:17" s="6" customFormat="1" x14ac:dyDescent="0.35">
      <c r="P57" s="17" t="s">
        <v>142</v>
      </c>
      <c r="Q57" s="9">
        <v>1.0316000000000001</v>
      </c>
    </row>
    <row r="58" spans="16:17" s="6" customFormat="1" x14ac:dyDescent="0.35">
      <c r="P58" s="17" t="s">
        <v>464</v>
      </c>
      <c r="Q58" s="9">
        <v>1.0378000000000001</v>
      </c>
    </row>
    <row r="59" spans="16:17" s="6" customFormat="1" x14ac:dyDescent="0.35">
      <c r="P59" s="17" t="s">
        <v>405</v>
      </c>
      <c r="Q59" s="9">
        <v>1.0263</v>
      </c>
    </row>
    <row r="60" spans="16:17" s="6" customFormat="1" x14ac:dyDescent="0.35">
      <c r="P60" s="17" t="s">
        <v>118</v>
      </c>
      <c r="Q60" s="9">
        <v>1.0259</v>
      </c>
    </row>
    <row r="61" spans="16:17" s="6" customFormat="1" x14ac:dyDescent="0.35">
      <c r="P61" s="17" t="s">
        <v>408</v>
      </c>
      <c r="Q61" s="9">
        <v>1.0004</v>
      </c>
    </row>
    <row r="62" spans="16:17" s="6" customFormat="1" x14ac:dyDescent="0.35">
      <c r="P62" s="17" t="s">
        <v>88</v>
      </c>
      <c r="Q62" s="9">
        <v>1.0274000000000001</v>
      </c>
    </row>
    <row r="63" spans="16:17" s="6" customFormat="1" x14ac:dyDescent="0.35">
      <c r="P63" s="17" t="s">
        <v>133</v>
      </c>
      <c r="Q63" s="9">
        <v>1.0088999999999999</v>
      </c>
    </row>
    <row r="64" spans="16:17" s="6" customFormat="1" x14ac:dyDescent="0.35">
      <c r="P64" s="17" t="s">
        <v>597</v>
      </c>
      <c r="Q64" s="9">
        <v>1.0084</v>
      </c>
    </row>
    <row r="65" spans="16:17" s="6" customFormat="1" x14ac:dyDescent="0.35">
      <c r="P65" s="17" t="s">
        <v>434</v>
      </c>
      <c r="Q65" s="9">
        <v>1.0103</v>
      </c>
    </row>
    <row r="66" spans="16:17" s="6" customFormat="1" x14ac:dyDescent="0.35">
      <c r="P66" s="17" t="s">
        <v>562</v>
      </c>
      <c r="Q66" s="9">
        <v>1.0192000000000001</v>
      </c>
    </row>
    <row r="67" spans="16:17" s="6" customFormat="1" x14ac:dyDescent="0.35">
      <c r="P67" s="17" t="s">
        <v>527</v>
      </c>
      <c r="Q67" s="9">
        <v>1.0082</v>
      </c>
    </row>
    <row r="68" spans="16:17" s="6" customFormat="1" x14ac:dyDescent="0.35">
      <c r="P68" s="17" t="s">
        <v>367</v>
      </c>
      <c r="Q68" s="9">
        <v>1.0114000000000001</v>
      </c>
    </row>
    <row r="69" spans="16:17" s="6" customFormat="1" x14ac:dyDescent="0.35">
      <c r="P69" s="17" t="s">
        <v>654</v>
      </c>
      <c r="Q69" s="9">
        <v>1.0076000000000001</v>
      </c>
    </row>
    <row r="70" spans="16:17" s="6" customFormat="1" x14ac:dyDescent="0.35">
      <c r="P70" s="17" t="s">
        <v>574</v>
      </c>
      <c r="Q70" s="9">
        <v>1.0061</v>
      </c>
    </row>
    <row r="71" spans="16:17" s="6" customFormat="1" x14ac:dyDescent="0.35">
      <c r="P71" s="17" t="s">
        <v>443</v>
      </c>
      <c r="Q71" s="9">
        <v>1.0145999999999999</v>
      </c>
    </row>
    <row r="72" spans="16:17" s="6" customFormat="1" x14ac:dyDescent="0.35">
      <c r="P72" s="17" t="s">
        <v>322</v>
      </c>
      <c r="Q72" s="9">
        <v>1.0247999999999999</v>
      </c>
    </row>
    <row r="73" spans="16:17" s="6" customFormat="1" x14ac:dyDescent="0.35">
      <c r="P73" s="17" t="s">
        <v>127</v>
      </c>
      <c r="Q73" s="9">
        <v>1.0263</v>
      </c>
    </row>
    <row r="74" spans="16:17" s="6" customFormat="1" x14ac:dyDescent="0.35">
      <c r="P74" s="8" t="s">
        <v>20</v>
      </c>
      <c r="Q74" s="9">
        <v>50.469199999999979</v>
      </c>
    </row>
    <row r="75" spans="16:17" s="6" customFormat="1" x14ac:dyDescent="0.35">
      <c r="P75" s="8" t="s">
        <v>24</v>
      </c>
      <c r="Q75" s="9">
        <v>50.1128</v>
      </c>
    </row>
    <row r="76" spans="16:17" s="6" customFormat="1" x14ac:dyDescent="0.35">
      <c r="P76" s="8" t="s">
        <v>42</v>
      </c>
      <c r="Q76" s="9">
        <v>40.167000000000002</v>
      </c>
    </row>
    <row r="77" spans="16:17" s="6" customFormat="1" x14ac:dyDescent="0.35">
      <c r="P77" s="8" t="s">
        <v>718</v>
      </c>
      <c r="Q77" s="9">
        <v>198.95989999999998</v>
      </c>
    </row>
    <row r="78" spans="16:17" s="6" customFormat="1" x14ac:dyDescent="0.35"/>
    <row r="79" spans="16:17" s="6" customFormat="1" x14ac:dyDescent="0.35"/>
    <row r="80" spans="16:17" s="6" customFormat="1" x14ac:dyDescent="0.35"/>
    <row r="81" s="6" customFormat="1" x14ac:dyDescent="0.35"/>
    <row r="82" s="6" customFormat="1" x14ac:dyDescent="0.35"/>
    <row r="83" s="6" customFormat="1" x14ac:dyDescent="0.35"/>
    <row r="84" s="6" customFormat="1" x14ac:dyDescent="0.35"/>
    <row r="85" s="6" customFormat="1" x14ac:dyDescent="0.35"/>
    <row r="86" s="6" customFormat="1" x14ac:dyDescent="0.35"/>
    <row r="87" s="6" customFormat="1" x14ac:dyDescent="0.35"/>
    <row r="88" s="6" customFormat="1" x14ac:dyDescent="0.35"/>
    <row r="89" s="6" customFormat="1" x14ac:dyDescent="0.35"/>
    <row r="90" s="6" customFormat="1" x14ac:dyDescent="0.35"/>
    <row r="91" s="6" customFormat="1" x14ac:dyDescent="0.35"/>
    <row r="92" s="6" customFormat="1" x14ac:dyDescent="0.35"/>
    <row r="93" s="6" customFormat="1" x14ac:dyDescent="0.35"/>
    <row r="94" s="6" customFormat="1" x14ac:dyDescent="0.35"/>
    <row r="95" s="6" customFormat="1" x14ac:dyDescent="0.35"/>
    <row r="96" s="6" customFormat="1" x14ac:dyDescent="0.35"/>
    <row r="97" s="6" customFormat="1" x14ac:dyDescent="0.35"/>
    <row r="98" s="6" customFormat="1" x14ac:dyDescent="0.35"/>
    <row r="99" s="6" customFormat="1" x14ac:dyDescent="0.35"/>
    <row r="100" s="6" customFormat="1" x14ac:dyDescent="0.35"/>
    <row r="101" s="6" customFormat="1" x14ac:dyDescent="0.35"/>
    <row r="102" s="6" customFormat="1" x14ac:dyDescent="0.35"/>
    <row r="103" s="6" customFormat="1" x14ac:dyDescent="0.35"/>
    <row r="104" s="6" customFormat="1" x14ac:dyDescent="0.35"/>
    <row r="105" s="6" customFormat="1" x14ac:dyDescent="0.35"/>
    <row r="106" s="6" customFormat="1" x14ac:dyDescent="0.35"/>
    <row r="107" s="6" customFormat="1" x14ac:dyDescent="0.35"/>
    <row r="108" s="6" customFormat="1" x14ac:dyDescent="0.35"/>
    <row r="109" s="6" customFormat="1" x14ac:dyDescent="0.35"/>
    <row r="110" s="6" customFormat="1" x14ac:dyDescent="0.35"/>
    <row r="111" s="6" customFormat="1" x14ac:dyDescent="0.35"/>
    <row r="112" s="6" customFormat="1" x14ac:dyDescent="0.35"/>
    <row r="113" s="6" customFormat="1" x14ac:dyDescent="0.35"/>
    <row r="114" s="6" customFormat="1" x14ac:dyDescent="0.35"/>
    <row r="115" s="6" customFormat="1" x14ac:dyDescent="0.35"/>
    <row r="116" s="6" customFormat="1" x14ac:dyDescent="0.35"/>
    <row r="117" s="6" customFormat="1" x14ac:dyDescent="0.35"/>
    <row r="118" s="6" customFormat="1" x14ac:dyDescent="0.35"/>
    <row r="119" s="6" customFormat="1" x14ac:dyDescent="0.35"/>
    <row r="120" s="6" customFormat="1" x14ac:dyDescent="0.35"/>
    <row r="121" s="6" customFormat="1" x14ac:dyDescent="0.35"/>
    <row r="122" s="6" customFormat="1" x14ac:dyDescent="0.35"/>
    <row r="123" s="6" customFormat="1" x14ac:dyDescent="0.35"/>
    <row r="124" s="6" customFormat="1" x14ac:dyDescent="0.35"/>
    <row r="125" s="6" customFormat="1" x14ac:dyDescent="0.35"/>
    <row r="126" s="6" customFormat="1" x14ac:dyDescent="0.35"/>
    <row r="127" s="6" customFormat="1" x14ac:dyDescent="0.35"/>
    <row r="128" s="6" customFormat="1" x14ac:dyDescent="0.35"/>
    <row r="129" s="6" customFormat="1" x14ac:dyDescent="0.35"/>
    <row r="130" s="6" customFormat="1" x14ac:dyDescent="0.35"/>
    <row r="131" s="6" customFormat="1" x14ac:dyDescent="0.35"/>
    <row r="132" s="6" customFormat="1" x14ac:dyDescent="0.35"/>
    <row r="133" s="6" customFormat="1" x14ac:dyDescent="0.35"/>
    <row r="134" s="6" customFormat="1" x14ac:dyDescent="0.35"/>
    <row r="135" s="6" customFormat="1" x14ac:dyDescent="0.35"/>
    <row r="136" s="6" customFormat="1" x14ac:dyDescent="0.35"/>
    <row r="137" s="6" customFormat="1" x14ac:dyDescent="0.35"/>
    <row r="138" s="6" customFormat="1" x14ac:dyDescent="0.35"/>
    <row r="139" s="6" customFormat="1" x14ac:dyDescent="0.35"/>
    <row r="140" s="6" customFormat="1" x14ac:dyDescent="0.35"/>
    <row r="141" s="6" customFormat="1" x14ac:dyDescent="0.35"/>
    <row r="142" s="6" customFormat="1" x14ac:dyDescent="0.35"/>
    <row r="143" s="6" customFormat="1" x14ac:dyDescent="0.35"/>
    <row r="144" s="6" customFormat="1" x14ac:dyDescent="0.35"/>
    <row r="145" s="6" customFormat="1" x14ac:dyDescent="0.35"/>
    <row r="146" s="6" customFormat="1" x14ac:dyDescent="0.35"/>
    <row r="147" s="6" customFormat="1" x14ac:dyDescent="0.35"/>
    <row r="148" s="6" customFormat="1" x14ac:dyDescent="0.35"/>
    <row r="149" s="6" customFormat="1" x14ac:dyDescent="0.35"/>
    <row r="150" s="6" customFormat="1" x14ac:dyDescent="0.35"/>
    <row r="151" s="6" customFormat="1" x14ac:dyDescent="0.35"/>
    <row r="152" s="6" customFormat="1" x14ac:dyDescent="0.35"/>
    <row r="153" s="6" customFormat="1" x14ac:dyDescent="0.35"/>
    <row r="154" s="6" customFormat="1" x14ac:dyDescent="0.35"/>
    <row r="155" s="6" customFormat="1" x14ac:dyDescent="0.35"/>
    <row r="156" s="6" customFormat="1" x14ac:dyDescent="0.35"/>
    <row r="157" s="6" customFormat="1" x14ac:dyDescent="0.35"/>
    <row r="158" s="6" customFormat="1" x14ac:dyDescent="0.35"/>
    <row r="159" s="6" customFormat="1" x14ac:dyDescent="0.35"/>
    <row r="160" s="6" customFormat="1" x14ac:dyDescent="0.35"/>
    <row r="161" s="6" customFormat="1" x14ac:dyDescent="0.35"/>
    <row r="162" s="6" customFormat="1" x14ac:dyDescent="0.35"/>
    <row r="163" s="6" customFormat="1" x14ac:dyDescent="0.35"/>
    <row r="164" s="6" customFormat="1" x14ac:dyDescent="0.35"/>
    <row r="165" s="6" customFormat="1" x14ac:dyDescent="0.35"/>
    <row r="166" s="6" customFormat="1" x14ac:dyDescent="0.35"/>
    <row r="167" s="6" customFormat="1" x14ac:dyDescent="0.35"/>
    <row r="168" s="6" customFormat="1" x14ac:dyDescent="0.35"/>
    <row r="169" s="6" customFormat="1" x14ac:dyDescent="0.35"/>
    <row r="170" s="6" customFormat="1" x14ac:dyDescent="0.35"/>
    <row r="171" s="6" customFormat="1" x14ac:dyDescent="0.35"/>
    <row r="172" s="6" customFormat="1" x14ac:dyDescent="0.35"/>
    <row r="173" s="6" customFormat="1" x14ac:dyDescent="0.35"/>
    <row r="174" s="6" customFormat="1" x14ac:dyDescent="0.35"/>
    <row r="175" s="6" customFormat="1" x14ac:dyDescent="0.35"/>
    <row r="176" s="6" customFormat="1" x14ac:dyDescent="0.35"/>
    <row r="177" s="6" customFormat="1" x14ac:dyDescent="0.35"/>
    <row r="178" s="6" customFormat="1" x14ac:dyDescent="0.35"/>
    <row r="179" s="6" customFormat="1" x14ac:dyDescent="0.35"/>
    <row r="180" s="6" customFormat="1" x14ac:dyDescent="0.35"/>
    <row r="181" s="6" customFormat="1" x14ac:dyDescent="0.35"/>
    <row r="182" s="6" customFormat="1" x14ac:dyDescent="0.35"/>
    <row r="183" s="6" customFormat="1" x14ac:dyDescent="0.35"/>
    <row r="184" s="6" customFormat="1" x14ac:dyDescent="0.35"/>
    <row r="185" s="6" customFormat="1" x14ac:dyDescent="0.35"/>
    <row r="186" s="6" customFormat="1" x14ac:dyDescent="0.35"/>
    <row r="187" s="6" customFormat="1" x14ac:dyDescent="0.35"/>
    <row r="188" s="6" customFormat="1" x14ac:dyDescent="0.35"/>
    <row r="189" s="6" customFormat="1" x14ac:dyDescent="0.35"/>
    <row r="190" s="6" customFormat="1" x14ac:dyDescent="0.35"/>
    <row r="191" s="6" customFormat="1" x14ac:dyDescent="0.35"/>
    <row r="192" s="6" customFormat="1" x14ac:dyDescent="0.35"/>
    <row r="193" s="6" customFormat="1" x14ac:dyDescent="0.35"/>
    <row r="194" s="6" customFormat="1" x14ac:dyDescent="0.35"/>
    <row r="195" s="6" customFormat="1" x14ac:dyDescent="0.35"/>
    <row r="196" s="6" customFormat="1" x14ac:dyDescent="0.35"/>
    <row r="197" s="6" customFormat="1" x14ac:dyDescent="0.35"/>
    <row r="198" s="6" customFormat="1" x14ac:dyDescent="0.35"/>
    <row r="199" s="6" customFormat="1" x14ac:dyDescent="0.35"/>
    <row r="200" s="6" customFormat="1" x14ac:dyDescent="0.35"/>
    <row r="201" s="6" customFormat="1" x14ac:dyDescent="0.35"/>
    <row r="202" s="6" customFormat="1" x14ac:dyDescent="0.35"/>
    <row r="203" s="6" customFormat="1" x14ac:dyDescent="0.35"/>
    <row r="204" s="6" customFormat="1" x14ac:dyDescent="0.35"/>
    <row r="205" s="6" customFormat="1" x14ac:dyDescent="0.35"/>
    <row r="206" s="6" customFormat="1" x14ac:dyDescent="0.35"/>
    <row r="207" s="6" customFormat="1" x14ac:dyDescent="0.35"/>
    <row r="208" s="6" customFormat="1" x14ac:dyDescent="0.35"/>
    <row r="209" s="6" customFormat="1" x14ac:dyDescent="0.35"/>
    <row r="210" s="6" customFormat="1" x14ac:dyDescent="0.35"/>
    <row r="211" s="6" customFormat="1" x14ac:dyDescent="0.35"/>
    <row r="212" s="6" customFormat="1" x14ac:dyDescent="0.35"/>
    <row r="213" s="6" customFormat="1" x14ac:dyDescent="0.35"/>
    <row r="214" s="6" customFormat="1" x14ac:dyDescent="0.35"/>
    <row r="215" s="6" customFormat="1" x14ac:dyDescent="0.35"/>
    <row r="216" s="6" customFormat="1" x14ac:dyDescent="0.35"/>
    <row r="217" s="6" customFormat="1" x14ac:dyDescent="0.35"/>
    <row r="218" s="6" customFormat="1" x14ac:dyDescent="0.35"/>
    <row r="219" s="6" customFormat="1" x14ac:dyDescent="0.35"/>
    <row r="220" s="6" customFormat="1" x14ac:dyDescent="0.35"/>
    <row r="221" s="6" customFormat="1" x14ac:dyDescent="0.35"/>
    <row r="222" s="6" customFormat="1" x14ac:dyDescent="0.35"/>
    <row r="223" s="6" customFormat="1" x14ac:dyDescent="0.35"/>
    <row r="224" s="6" customFormat="1" x14ac:dyDescent="0.35"/>
    <row r="225" s="6" customFormat="1" x14ac:dyDescent="0.35"/>
    <row r="226" s="6" customFormat="1" x14ac:dyDescent="0.35"/>
    <row r="227" s="6" customFormat="1" x14ac:dyDescent="0.35"/>
    <row r="228" s="6" customFormat="1" x14ac:dyDescent="0.35"/>
    <row r="229" s="6" customFormat="1" x14ac:dyDescent="0.35"/>
    <row r="230" s="6" customFormat="1" x14ac:dyDescent="0.35"/>
    <row r="231" s="6" customFormat="1" x14ac:dyDescent="0.35"/>
    <row r="232" s="6" customFormat="1" x14ac:dyDescent="0.35"/>
    <row r="233" s="6" customFormat="1" x14ac:dyDescent="0.35"/>
    <row r="234" s="6" customFormat="1" x14ac:dyDescent="0.35"/>
    <row r="235" s="6" customFormat="1" x14ac:dyDescent="0.35"/>
    <row r="236" s="6" customFormat="1" x14ac:dyDescent="0.35"/>
    <row r="237" s="6" customFormat="1" x14ac:dyDescent="0.35"/>
    <row r="238" s="6" customFormat="1" x14ac:dyDescent="0.35"/>
    <row r="239" s="6" customFormat="1" x14ac:dyDescent="0.35"/>
    <row r="240" s="6" customFormat="1" x14ac:dyDescent="0.35"/>
    <row r="241" spans="3:10" x14ac:dyDescent="0.35">
      <c r="C241" s="6"/>
      <c r="D241" s="6"/>
      <c r="E241" s="6"/>
      <c r="F241" s="6"/>
      <c r="G241" s="6"/>
      <c r="H241" s="6"/>
      <c r="I241" s="6"/>
      <c r="J241" s="6"/>
    </row>
    <row r="242" spans="3:10" x14ac:dyDescent="0.35">
      <c r="C242" s="6"/>
      <c r="D242" s="6"/>
      <c r="E242" s="6"/>
      <c r="F242" s="6"/>
      <c r="G242" s="6"/>
      <c r="H242" s="6"/>
      <c r="I242" s="6"/>
      <c r="J242" s="6"/>
    </row>
    <row r="243" spans="3:10" x14ac:dyDescent="0.35">
      <c r="C243" s="6"/>
      <c r="D243" s="6"/>
      <c r="E243" s="6"/>
      <c r="F243" s="6"/>
      <c r="G243" s="6"/>
      <c r="H243" s="6"/>
      <c r="I243" s="6"/>
      <c r="J243" s="6"/>
    </row>
    <row r="244" spans="3:10" x14ac:dyDescent="0.35">
      <c r="C244" s="6"/>
      <c r="E244" s="6"/>
      <c r="H244" s="6"/>
    </row>
    <row r="245" spans="3:10" x14ac:dyDescent="0.35">
      <c r="C245" s="6"/>
      <c r="E245" s="6"/>
      <c r="H245" s="6"/>
    </row>
    <row r="246" spans="3:10" x14ac:dyDescent="0.35">
      <c r="C246" s="6"/>
      <c r="E246" s="6"/>
      <c r="H246" s="6"/>
    </row>
    <row r="247" spans="3:10" x14ac:dyDescent="0.35">
      <c r="C247" s="6"/>
      <c r="E247" s="6"/>
      <c r="H247" s="6"/>
    </row>
    <row r="248" spans="3:10" x14ac:dyDescent="0.35">
      <c r="C248" s="6"/>
      <c r="E248" s="6"/>
      <c r="H248" s="6"/>
    </row>
    <row r="249" spans="3:10" x14ac:dyDescent="0.35">
      <c r="C249" s="6"/>
      <c r="E249" s="6"/>
      <c r="H249" s="6"/>
    </row>
    <row r="250" spans="3:10" x14ac:dyDescent="0.35">
      <c r="C250" s="6"/>
      <c r="E250" s="6"/>
      <c r="H250" s="6"/>
    </row>
    <row r="251" spans="3:10" x14ac:dyDescent="0.35">
      <c r="C251" s="6"/>
      <c r="E251" s="6"/>
      <c r="H251" s="6"/>
    </row>
    <row r="252" spans="3:10" x14ac:dyDescent="0.35">
      <c r="C252" s="6"/>
      <c r="E252" s="6"/>
      <c r="H252" s="6"/>
    </row>
    <row r="253" spans="3:10" x14ac:dyDescent="0.35">
      <c r="C253" s="6"/>
      <c r="E253" s="6"/>
      <c r="H253" s="6"/>
    </row>
    <row r="254" spans="3:10" x14ac:dyDescent="0.35">
      <c r="C254" s="6"/>
      <c r="E254" s="6"/>
      <c r="H254" s="6"/>
    </row>
    <row r="255" spans="3:10" x14ac:dyDescent="0.35">
      <c r="C255" s="6"/>
    </row>
    <row r="256" spans="3:10" x14ac:dyDescent="0.35">
      <c r="C256" s="6"/>
    </row>
    <row r="257" spans="3:3" x14ac:dyDescent="0.35">
      <c r="C257" s="6"/>
    </row>
    <row r="258" spans="3:3" x14ac:dyDescent="0.35">
      <c r="C258" s="6"/>
    </row>
    <row r="259" spans="3:3" x14ac:dyDescent="0.35">
      <c r="C259" s="6"/>
    </row>
    <row r="260" spans="3:3" x14ac:dyDescent="0.35">
      <c r="C260" s="6"/>
    </row>
    <row r="261" spans="3:3" x14ac:dyDescent="0.35">
      <c r="C261" s="6"/>
    </row>
    <row r="262" spans="3:3" x14ac:dyDescent="0.35">
      <c r="C262" s="6"/>
    </row>
    <row r="263" spans="3:3" x14ac:dyDescent="0.35">
      <c r="C263" s="6"/>
    </row>
    <row r="264" spans="3:3" x14ac:dyDescent="0.35">
      <c r="C264" s="6"/>
    </row>
    <row r="265" spans="3:3" x14ac:dyDescent="0.35">
      <c r="C265" s="6"/>
    </row>
    <row r="266" spans="3:3" x14ac:dyDescent="0.35">
      <c r="C266" s="6"/>
    </row>
    <row r="267" spans="3:3" x14ac:dyDescent="0.35">
      <c r="C267" s="6"/>
    </row>
    <row r="268" spans="3:3" x14ac:dyDescent="0.35">
      <c r="C268" s="6"/>
    </row>
    <row r="269" spans="3:3" x14ac:dyDescent="0.35">
      <c r="C269" s="6"/>
    </row>
    <row r="270" spans="3:3" x14ac:dyDescent="0.35">
      <c r="C270" s="6"/>
    </row>
    <row r="271" spans="3:3" x14ac:dyDescent="0.35">
      <c r="C271" s="6"/>
    </row>
    <row r="272" spans="3:3" x14ac:dyDescent="0.35">
      <c r="C272" s="6"/>
    </row>
    <row r="273" spans="3:3" x14ac:dyDescent="0.35">
      <c r="C273" s="6"/>
    </row>
    <row r="274" spans="3:3" x14ac:dyDescent="0.35">
      <c r="C274" s="6"/>
    </row>
    <row r="275" spans="3:3" x14ac:dyDescent="0.35">
      <c r="C275" s="6"/>
    </row>
    <row r="276" spans="3:3" x14ac:dyDescent="0.35">
      <c r="C276" s="6"/>
    </row>
    <row r="277" spans="3:3" x14ac:dyDescent="0.35">
      <c r="C277" s="6"/>
    </row>
    <row r="278" spans="3:3" x14ac:dyDescent="0.35">
      <c r="C278" s="6"/>
    </row>
    <row r="279" spans="3:3" x14ac:dyDescent="0.35">
      <c r="C279" s="6"/>
    </row>
    <row r="280" spans="3:3" x14ac:dyDescent="0.35">
      <c r="C280" s="6"/>
    </row>
    <row r="281" spans="3:3" x14ac:dyDescent="0.35">
      <c r="C281" s="6"/>
    </row>
    <row r="282" spans="3:3" x14ac:dyDescent="0.35">
      <c r="C282" s="6"/>
    </row>
    <row r="283" spans="3:3" x14ac:dyDescent="0.35">
      <c r="C283" s="6"/>
    </row>
    <row r="284" spans="3:3" x14ac:dyDescent="0.35">
      <c r="C284" s="6"/>
    </row>
    <row r="285" spans="3:3" x14ac:dyDescent="0.35">
      <c r="C285" s="6"/>
    </row>
    <row r="286" spans="3:3" x14ac:dyDescent="0.35">
      <c r="C286" s="6"/>
    </row>
    <row r="287" spans="3:3" x14ac:dyDescent="0.35">
      <c r="C287" s="6"/>
    </row>
    <row r="288" spans="3:3" x14ac:dyDescent="0.35">
      <c r="C288" s="6"/>
    </row>
    <row r="289" spans="3:3" x14ac:dyDescent="0.35">
      <c r="C289" s="6"/>
    </row>
    <row r="290" spans="3:3" x14ac:dyDescent="0.35">
      <c r="C290" s="6"/>
    </row>
    <row r="291" spans="3:3" x14ac:dyDescent="0.35">
      <c r="C291" s="6"/>
    </row>
    <row r="292" spans="3:3" x14ac:dyDescent="0.35">
      <c r="C292" s="6"/>
    </row>
    <row r="293" spans="3:3" x14ac:dyDescent="0.35">
      <c r="C293" s="6"/>
    </row>
    <row r="294" spans="3:3" x14ac:dyDescent="0.35">
      <c r="C294" s="6"/>
    </row>
    <row r="295" spans="3:3" x14ac:dyDescent="0.35">
      <c r="C295" s="6"/>
    </row>
    <row r="296" spans="3:3" x14ac:dyDescent="0.35">
      <c r="C296" s="6"/>
    </row>
    <row r="297" spans="3:3" x14ac:dyDescent="0.35">
      <c r="C297" s="6"/>
    </row>
    <row r="298" spans="3:3" x14ac:dyDescent="0.35">
      <c r="C298" s="6"/>
    </row>
    <row r="299" spans="3:3" x14ac:dyDescent="0.35">
      <c r="C299" s="6"/>
    </row>
    <row r="300" spans="3:3" x14ac:dyDescent="0.35">
      <c r="C300" s="6"/>
    </row>
    <row r="301" spans="3:3" x14ac:dyDescent="0.35">
      <c r="C301" s="6"/>
    </row>
    <row r="302" spans="3:3" x14ac:dyDescent="0.35">
      <c r="C302" s="6"/>
    </row>
    <row r="303" spans="3:3" x14ac:dyDescent="0.35">
      <c r="C303" s="6"/>
    </row>
    <row r="304" spans="3:3" x14ac:dyDescent="0.35">
      <c r="C304" s="6"/>
    </row>
    <row r="305" spans="3:3" x14ac:dyDescent="0.35">
      <c r="C305" s="6"/>
    </row>
    <row r="306" spans="3:3" x14ac:dyDescent="0.35">
      <c r="C306" s="6"/>
    </row>
    <row r="307" spans="3:3" x14ac:dyDescent="0.35">
      <c r="C307" s="6"/>
    </row>
    <row r="308" spans="3:3" x14ac:dyDescent="0.35">
      <c r="C308" s="6"/>
    </row>
    <row r="309" spans="3:3" x14ac:dyDescent="0.35">
      <c r="C309" s="6"/>
    </row>
    <row r="310" spans="3:3" x14ac:dyDescent="0.35">
      <c r="C310" s="6"/>
    </row>
    <row r="311" spans="3:3" x14ac:dyDescent="0.35">
      <c r="C311" s="6"/>
    </row>
    <row r="312" spans="3:3" x14ac:dyDescent="0.35">
      <c r="C312" s="6"/>
    </row>
    <row r="313" spans="3:3" x14ac:dyDescent="0.35">
      <c r="C313" s="6"/>
    </row>
    <row r="314" spans="3:3" x14ac:dyDescent="0.35">
      <c r="C314" s="6"/>
    </row>
    <row r="315" spans="3:3" x14ac:dyDescent="0.35">
      <c r="C315" s="6"/>
    </row>
    <row r="316" spans="3:3" x14ac:dyDescent="0.35">
      <c r="C316" s="6"/>
    </row>
    <row r="317" spans="3:3" x14ac:dyDescent="0.35">
      <c r="C317" s="6"/>
    </row>
    <row r="318" spans="3:3" x14ac:dyDescent="0.35">
      <c r="C318" s="6"/>
    </row>
    <row r="319" spans="3:3" x14ac:dyDescent="0.35">
      <c r="C319" s="6"/>
    </row>
    <row r="320" spans="3:3" x14ac:dyDescent="0.35">
      <c r="C320" s="6"/>
    </row>
    <row r="321" spans="3:3" x14ac:dyDescent="0.35">
      <c r="C321" s="6"/>
    </row>
    <row r="322" spans="3:3" x14ac:dyDescent="0.35">
      <c r="C322" s="6"/>
    </row>
    <row r="323" spans="3:3" x14ac:dyDescent="0.35">
      <c r="C323" s="6"/>
    </row>
    <row r="324" spans="3:3" x14ac:dyDescent="0.35">
      <c r="C324" s="6"/>
    </row>
    <row r="325" spans="3:3" x14ac:dyDescent="0.35">
      <c r="C325" s="6"/>
    </row>
    <row r="326" spans="3:3" x14ac:dyDescent="0.35">
      <c r="C326" s="6"/>
    </row>
    <row r="327" spans="3:3" x14ac:dyDescent="0.35">
      <c r="C327" s="6"/>
    </row>
    <row r="328" spans="3:3" x14ac:dyDescent="0.35">
      <c r="C328" s="6"/>
    </row>
    <row r="329" spans="3:3" x14ac:dyDescent="0.35">
      <c r="C329" s="6"/>
    </row>
    <row r="330" spans="3:3" x14ac:dyDescent="0.35">
      <c r="C330" s="6"/>
    </row>
    <row r="331" spans="3:3" x14ac:dyDescent="0.35">
      <c r="C331" s="6"/>
    </row>
    <row r="332" spans="3:3" x14ac:dyDescent="0.35">
      <c r="C332" s="6"/>
    </row>
    <row r="333" spans="3:3" x14ac:dyDescent="0.35">
      <c r="C333" s="6"/>
    </row>
    <row r="334" spans="3:3" x14ac:dyDescent="0.35">
      <c r="C334" s="6"/>
    </row>
    <row r="335" spans="3:3" x14ac:dyDescent="0.35">
      <c r="C335" s="6"/>
    </row>
    <row r="336" spans="3:3" x14ac:dyDescent="0.35">
      <c r="C336" s="6"/>
    </row>
    <row r="337" spans="3:3" x14ac:dyDescent="0.35">
      <c r="C337" s="6"/>
    </row>
    <row r="338" spans="3:3" x14ac:dyDescent="0.35">
      <c r="C338" s="6"/>
    </row>
    <row r="339" spans="3:3" x14ac:dyDescent="0.35">
      <c r="C339" s="6"/>
    </row>
    <row r="340" spans="3:3" x14ac:dyDescent="0.35">
      <c r="C340" s="6"/>
    </row>
    <row r="341" spans="3:3" x14ac:dyDescent="0.35">
      <c r="C341" s="6"/>
    </row>
    <row r="342" spans="3:3" x14ac:dyDescent="0.35">
      <c r="C342" s="6"/>
    </row>
    <row r="343" spans="3:3" x14ac:dyDescent="0.35">
      <c r="C343" s="6"/>
    </row>
    <row r="344" spans="3:3" x14ac:dyDescent="0.35">
      <c r="C344" s="6"/>
    </row>
    <row r="345" spans="3:3" x14ac:dyDescent="0.35">
      <c r="C345" s="6"/>
    </row>
    <row r="346" spans="3:3" x14ac:dyDescent="0.35">
      <c r="C346" s="6"/>
    </row>
    <row r="347" spans="3:3" x14ac:dyDescent="0.35">
      <c r="C347" s="6"/>
    </row>
    <row r="348" spans="3:3" x14ac:dyDescent="0.35">
      <c r="C348" s="6"/>
    </row>
    <row r="349" spans="3:3" x14ac:dyDescent="0.35">
      <c r="C349" s="6"/>
    </row>
    <row r="350" spans="3:3" x14ac:dyDescent="0.35">
      <c r="C350" s="6"/>
    </row>
    <row r="351" spans="3:3" x14ac:dyDescent="0.35">
      <c r="C351" s="6"/>
    </row>
    <row r="352" spans="3:3" x14ac:dyDescent="0.35">
      <c r="C352" s="6"/>
    </row>
    <row r="353" spans="3:3" x14ac:dyDescent="0.35">
      <c r="C353" s="6"/>
    </row>
    <row r="354" spans="3:3" x14ac:dyDescent="0.35">
      <c r="C354" s="6"/>
    </row>
    <row r="355" spans="3:3" x14ac:dyDescent="0.35">
      <c r="C355" s="6"/>
    </row>
    <row r="356" spans="3:3" x14ac:dyDescent="0.35">
      <c r="C356" s="6"/>
    </row>
    <row r="357" spans="3:3" x14ac:dyDescent="0.35">
      <c r="C357" s="6"/>
    </row>
    <row r="358" spans="3:3" x14ac:dyDescent="0.35">
      <c r="C358" s="6"/>
    </row>
    <row r="359" spans="3:3" x14ac:dyDescent="0.35">
      <c r="C359" s="6"/>
    </row>
    <row r="360" spans="3:3" x14ac:dyDescent="0.35">
      <c r="C360" s="6"/>
    </row>
    <row r="361" spans="3:3" x14ac:dyDescent="0.35">
      <c r="C361" s="6"/>
    </row>
    <row r="362" spans="3:3" x14ac:dyDescent="0.35">
      <c r="C362" s="6"/>
    </row>
    <row r="363" spans="3:3" x14ac:dyDescent="0.35">
      <c r="C363" s="6"/>
    </row>
    <row r="364" spans="3:3" x14ac:dyDescent="0.35">
      <c r="C364" s="6"/>
    </row>
    <row r="365" spans="3:3" x14ac:dyDescent="0.35">
      <c r="C365" s="6"/>
    </row>
    <row r="366" spans="3:3" x14ac:dyDescent="0.35">
      <c r="C366" s="6"/>
    </row>
    <row r="367" spans="3:3" x14ac:dyDescent="0.35">
      <c r="C367" s="6"/>
    </row>
    <row r="368" spans="3:3" x14ac:dyDescent="0.35">
      <c r="C368" s="6"/>
    </row>
    <row r="369" spans="3:3" x14ac:dyDescent="0.35">
      <c r="C369" s="6"/>
    </row>
    <row r="370" spans="3:3" x14ac:dyDescent="0.35">
      <c r="C370" s="6"/>
    </row>
    <row r="371" spans="3:3" x14ac:dyDescent="0.35">
      <c r="C371" s="6"/>
    </row>
    <row r="372" spans="3:3" x14ac:dyDescent="0.35">
      <c r="C372" s="6"/>
    </row>
    <row r="373" spans="3:3" x14ac:dyDescent="0.35">
      <c r="C373" s="6"/>
    </row>
    <row r="374" spans="3:3" x14ac:dyDescent="0.35">
      <c r="C374" s="6"/>
    </row>
    <row r="375" spans="3:3" x14ac:dyDescent="0.35">
      <c r="C375" s="6"/>
    </row>
    <row r="376" spans="3:3" x14ac:dyDescent="0.35">
      <c r="C376" s="6"/>
    </row>
    <row r="377" spans="3:3" x14ac:dyDescent="0.35">
      <c r="C377" s="6"/>
    </row>
    <row r="378" spans="3:3" x14ac:dyDescent="0.35">
      <c r="C378" s="6"/>
    </row>
    <row r="379" spans="3:3" x14ac:dyDescent="0.35">
      <c r="C379" s="6"/>
    </row>
    <row r="380" spans="3:3" x14ac:dyDescent="0.35">
      <c r="C380" s="6"/>
    </row>
    <row r="381" spans="3:3" x14ac:dyDescent="0.35">
      <c r="C381" s="6"/>
    </row>
    <row r="382" spans="3:3" x14ac:dyDescent="0.35">
      <c r="C382" s="6"/>
    </row>
    <row r="383" spans="3:3" x14ac:dyDescent="0.35">
      <c r="C383" s="6"/>
    </row>
    <row r="384" spans="3:3" x14ac:dyDescent="0.35">
      <c r="C384" s="6"/>
    </row>
    <row r="385" spans="3:3" x14ac:dyDescent="0.35">
      <c r="C385" s="6"/>
    </row>
    <row r="386" spans="3:3" x14ac:dyDescent="0.35">
      <c r="C386" s="6"/>
    </row>
    <row r="387" spans="3:3" x14ac:dyDescent="0.35">
      <c r="C387" s="6"/>
    </row>
    <row r="388" spans="3:3" x14ac:dyDescent="0.35">
      <c r="C388" s="6"/>
    </row>
    <row r="389" spans="3:3" x14ac:dyDescent="0.35">
      <c r="C389" s="6"/>
    </row>
    <row r="390" spans="3:3" x14ac:dyDescent="0.35">
      <c r="C390" s="6"/>
    </row>
    <row r="391" spans="3:3" x14ac:dyDescent="0.35">
      <c r="C391" s="6"/>
    </row>
    <row r="392" spans="3:3" x14ac:dyDescent="0.35">
      <c r="C392" s="6"/>
    </row>
    <row r="393" spans="3:3" x14ac:dyDescent="0.35">
      <c r="C393" s="6"/>
    </row>
    <row r="394" spans="3:3" x14ac:dyDescent="0.35">
      <c r="C394" s="6"/>
    </row>
    <row r="395" spans="3:3" x14ac:dyDescent="0.35">
      <c r="C395" s="6"/>
    </row>
    <row r="396" spans="3:3" x14ac:dyDescent="0.35">
      <c r="C396" s="6"/>
    </row>
    <row r="397" spans="3:3" x14ac:dyDescent="0.35">
      <c r="C397" s="6"/>
    </row>
    <row r="398" spans="3:3" x14ac:dyDescent="0.35">
      <c r="C398" s="6"/>
    </row>
    <row r="399" spans="3:3" x14ac:dyDescent="0.35">
      <c r="C399" s="6"/>
    </row>
    <row r="400" spans="3:3" x14ac:dyDescent="0.35">
      <c r="C400" s="6"/>
    </row>
    <row r="401" spans="3:3" x14ac:dyDescent="0.35">
      <c r="C401" s="6"/>
    </row>
    <row r="402" spans="3:3" x14ac:dyDescent="0.35">
      <c r="C402" s="6"/>
    </row>
    <row r="403" spans="3:3" x14ac:dyDescent="0.35">
      <c r="C403" s="6"/>
    </row>
    <row r="404" spans="3:3" x14ac:dyDescent="0.35">
      <c r="C404" s="6"/>
    </row>
    <row r="405" spans="3:3" x14ac:dyDescent="0.35">
      <c r="C405" s="6"/>
    </row>
    <row r="406" spans="3:3" x14ac:dyDescent="0.35">
      <c r="C406" s="6"/>
    </row>
    <row r="407" spans="3:3" x14ac:dyDescent="0.35">
      <c r="C407" s="6"/>
    </row>
    <row r="408" spans="3:3" x14ac:dyDescent="0.35">
      <c r="C408" s="6"/>
    </row>
    <row r="409" spans="3:3" x14ac:dyDescent="0.35">
      <c r="C409" s="6"/>
    </row>
    <row r="410" spans="3:3" x14ac:dyDescent="0.35">
      <c r="C410" s="6"/>
    </row>
    <row r="411" spans="3:3" x14ac:dyDescent="0.35">
      <c r="C411" s="6"/>
    </row>
    <row r="412" spans="3:3" x14ac:dyDescent="0.35">
      <c r="C412" s="6"/>
    </row>
    <row r="413" spans="3:3" x14ac:dyDescent="0.35">
      <c r="C413" s="6"/>
    </row>
    <row r="414" spans="3:3" x14ac:dyDescent="0.35">
      <c r="C414" s="6"/>
    </row>
    <row r="415" spans="3:3" x14ac:dyDescent="0.35">
      <c r="C415" s="6"/>
    </row>
    <row r="416" spans="3:3" x14ac:dyDescent="0.35">
      <c r="C416" s="6"/>
    </row>
    <row r="417" spans="3:3" x14ac:dyDescent="0.35">
      <c r="C417" s="6"/>
    </row>
    <row r="418" spans="3:3" x14ac:dyDescent="0.35">
      <c r="C418" s="6"/>
    </row>
    <row r="419" spans="3:3" x14ac:dyDescent="0.35">
      <c r="C419" s="6"/>
    </row>
    <row r="420" spans="3:3" x14ac:dyDescent="0.35">
      <c r="C420" s="6"/>
    </row>
    <row r="421" spans="3:3" x14ac:dyDescent="0.35">
      <c r="C421" s="6"/>
    </row>
    <row r="422" spans="3:3" x14ac:dyDescent="0.35">
      <c r="C422" s="6"/>
    </row>
    <row r="423" spans="3:3" x14ac:dyDescent="0.35">
      <c r="C423" s="6"/>
    </row>
    <row r="424" spans="3:3" x14ac:dyDescent="0.35">
      <c r="C424" s="6"/>
    </row>
    <row r="425" spans="3:3" x14ac:dyDescent="0.35">
      <c r="C425" s="6"/>
    </row>
    <row r="426" spans="3:3" x14ac:dyDescent="0.35">
      <c r="C426" s="6"/>
    </row>
    <row r="427" spans="3:3" x14ac:dyDescent="0.35">
      <c r="C427" s="6"/>
    </row>
    <row r="428" spans="3:3" x14ac:dyDescent="0.35">
      <c r="C428" s="6"/>
    </row>
    <row r="429" spans="3:3" x14ac:dyDescent="0.35">
      <c r="C429" s="6"/>
    </row>
    <row r="430" spans="3:3" x14ac:dyDescent="0.35">
      <c r="C430" s="6"/>
    </row>
    <row r="431" spans="3:3" x14ac:dyDescent="0.35">
      <c r="C431" s="6"/>
    </row>
    <row r="432" spans="3:3" x14ac:dyDescent="0.35">
      <c r="C432" s="6"/>
    </row>
    <row r="433" spans="3:3" x14ac:dyDescent="0.35">
      <c r="C433" s="6"/>
    </row>
    <row r="434" spans="3:3" x14ac:dyDescent="0.35">
      <c r="C434" s="6"/>
    </row>
    <row r="435" spans="3:3" x14ac:dyDescent="0.35">
      <c r="C435" s="6"/>
    </row>
    <row r="436" spans="3:3" x14ac:dyDescent="0.35">
      <c r="C436" s="6"/>
    </row>
    <row r="437" spans="3:3" x14ac:dyDescent="0.35">
      <c r="C437" s="6"/>
    </row>
    <row r="438" spans="3:3" x14ac:dyDescent="0.35">
      <c r="C438" s="6"/>
    </row>
    <row r="439" spans="3:3" x14ac:dyDescent="0.35">
      <c r="C439" s="6"/>
    </row>
    <row r="440" spans="3:3" x14ac:dyDescent="0.35">
      <c r="C440" s="6"/>
    </row>
    <row r="441" spans="3:3" x14ac:dyDescent="0.35">
      <c r="C441" s="6"/>
    </row>
    <row r="442" spans="3:3" x14ac:dyDescent="0.35">
      <c r="C442" s="6"/>
    </row>
    <row r="443" spans="3:3" x14ac:dyDescent="0.35">
      <c r="C443" s="6"/>
    </row>
    <row r="444" spans="3:3" x14ac:dyDescent="0.35">
      <c r="C444" s="6"/>
    </row>
    <row r="445" spans="3:3" x14ac:dyDescent="0.35">
      <c r="C445" s="6"/>
    </row>
    <row r="446" spans="3:3" x14ac:dyDescent="0.35">
      <c r="C446" s="6"/>
    </row>
    <row r="447" spans="3:3" x14ac:dyDescent="0.35">
      <c r="C447" s="6"/>
    </row>
    <row r="448" spans="3:3" x14ac:dyDescent="0.35">
      <c r="C448" s="6"/>
    </row>
    <row r="449" spans="3:3" x14ac:dyDescent="0.35">
      <c r="C449" s="6"/>
    </row>
    <row r="450" spans="3:3" x14ac:dyDescent="0.35">
      <c r="C450" s="6"/>
    </row>
    <row r="451" spans="3:3" x14ac:dyDescent="0.35">
      <c r="C451" s="6"/>
    </row>
    <row r="452" spans="3:3" x14ac:dyDescent="0.35">
      <c r="C452" s="6"/>
    </row>
    <row r="453" spans="3:3" x14ac:dyDescent="0.35">
      <c r="C453" s="6"/>
    </row>
    <row r="454" spans="3:3" x14ac:dyDescent="0.35">
      <c r="C454" s="6"/>
    </row>
    <row r="455" spans="3:3" x14ac:dyDescent="0.35">
      <c r="C455" s="6"/>
    </row>
    <row r="456" spans="3:3" x14ac:dyDescent="0.35">
      <c r="C456" s="6"/>
    </row>
    <row r="457" spans="3:3" x14ac:dyDescent="0.35">
      <c r="C457" s="6"/>
    </row>
    <row r="458" spans="3:3" x14ac:dyDescent="0.35">
      <c r="C458" s="6"/>
    </row>
    <row r="459" spans="3:3" x14ac:dyDescent="0.35">
      <c r="C459" s="6"/>
    </row>
    <row r="460" spans="3:3" x14ac:dyDescent="0.35">
      <c r="C460" s="6"/>
    </row>
    <row r="461" spans="3:3" x14ac:dyDescent="0.35">
      <c r="C461" s="6"/>
    </row>
    <row r="462" spans="3:3" x14ac:dyDescent="0.35">
      <c r="C462" s="6"/>
    </row>
    <row r="463" spans="3:3" x14ac:dyDescent="0.35">
      <c r="C463" s="6"/>
    </row>
    <row r="464" spans="3:3" x14ac:dyDescent="0.35">
      <c r="C464" s="6"/>
    </row>
    <row r="465" spans="3:3" x14ac:dyDescent="0.35">
      <c r="C465" s="6"/>
    </row>
    <row r="466" spans="3:3" x14ac:dyDescent="0.35">
      <c r="C466" s="6"/>
    </row>
    <row r="467" spans="3:3" x14ac:dyDescent="0.35">
      <c r="C467" s="6"/>
    </row>
    <row r="468" spans="3:3" x14ac:dyDescent="0.35">
      <c r="C468" s="6"/>
    </row>
    <row r="469" spans="3:3" x14ac:dyDescent="0.35">
      <c r="C469" s="6"/>
    </row>
    <row r="470" spans="3:3" x14ac:dyDescent="0.35">
      <c r="C470" s="6"/>
    </row>
    <row r="471" spans="3:3" x14ac:dyDescent="0.35">
      <c r="C471" s="6"/>
    </row>
    <row r="472" spans="3:3" x14ac:dyDescent="0.35">
      <c r="C472" s="6"/>
    </row>
    <row r="473" spans="3:3" x14ac:dyDescent="0.35">
      <c r="C473" s="6"/>
    </row>
    <row r="474" spans="3:3" x14ac:dyDescent="0.35">
      <c r="C474" s="6"/>
    </row>
    <row r="475" spans="3:3" x14ac:dyDescent="0.35">
      <c r="C475" s="6"/>
    </row>
    <row r="476" spans="3:3" x14ac:dyDescent="0.35">
      <c r="C476" s="6"/>
    </row>
    <row r="477" spans="3:3" x14ac:dyDescent="0.35">
      <c r="C477" s="6"/>
    </row>
    <row r="478" spans="3:3" x14ac:dyDescent="0.35">
      <c r="C478" s="6"/>
    </row>
    <row r="479" spans="3:3" x14ac:dyDescent="0.35">
      <c r="C479" s="6"/>
    </row>
    <row r="480" spans="3:3" x14ac:dyDescent="0.35">
      <c r="C480" s="6"/>
    </row>
    <row r="481" spans="3:3" x14ac:dyDescent="0.35">
      <c r="C481" s="6"/>
    </row>
    <row r="482" spans="3:3" x14ac:dyDescent="0.35">
      <c r="C482" s="6"/>
    </row>
    <row r="483" spans="3:3" x14ac:dyDescent="0.35">
      <c r="C483" s="6"/>
    </row>
    <row r="484" spans="3:3" x14ac:dyDescent="0.35">
      <c r="C484" s="6"/>
    </row>
    <row r="485" spans="3:3" x14ac:dyDescent="0.35">
      <c r="C485" s="6"/>
    </row>
    <row r="486" spans="3:3" x14ac:dyDescent="0.35">
      <c r="C486" s="6"/>
    </row>
    <row r="487" spans="3:3" x14ac:dyDescent="0.35">
      <c r="C487" s="6"/>
    </row>
    <row r="488" spans="3:3" x14ac:dyDescent="0.35">
      <c r="C488" s="6"/>
    </row>
  </sheetData>
  <sheetProtection algorithmName="SHA-512" hashValue="1G8UWZC67ujVSJOcanmPaMny+0rgfBtdYX0jDrz5aZH5Z4Vh5mqrf3apwdSu2ciyST7lA5RLonHhpmAOAu/Jqg==" saltValue="BQrLtayRu3yv+CQ0iqxJWg==" spinCount="100000" sheet="1" objects="1" scenarios="1"/>
  <mergeCells count="4">
    <mergeCell ref="B1:C1"/>
    <mergeCell ref="L2:M2"/>
    <mergeCell ref="O2:P2"/>
    <mergeCell ref="T2:U2"/>
  </mergeCells>
  <pageMargins left="0.7" right="0.7" top="0.75" bottom="0.75" header="0.3" footer="0.3"/>
  <pageSetup orientation="portrait" r:id="rId6"/>
  <drawing r:id="rId7"/>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A5A7FA-4B43-4440-9665-28B811D1F7E7}">
  <sheetPr codeName="Sheet5"/>
  <dimension ref="A2:V9"/>
  <sheetViews>
    <sheetView showGridLines="0" showRowColHeaders="0" view="pageBreakPreview" zoomScaleNormal="110" zoomScaleSheetLayoutView="100" workbookViewId="0">
      <pane xSplit="1" topLeftCell="B1" activePane="topRight" state="frozen"/>
      <selection pane="topRight"/>
    </sheetView>
  </sheetViews>
  <sheetFormatPr defaultRowHeight="14.5" x14ac:dyDescent="0.35"/>
  <cols>
    <col min="1" max="1" width="8.7265625" style="4" customWidth="1"/>
    <col min="2" max="16384" width="8.7265625" style="4"/>
  </cols>
  <sheetData>
    <row r="2" spans="1:22" x14ac:dyDescent="0.35">
      <c r="A2"/>
    </row>
    <row r="8" spans="1:22" ht="23" customHeight="1" x14ac:dyDescent="0.35"/>
    <row r="9" spans="1:22" ht="33.5" customHeight="1" x14ac:dyDescent="0.35">
      <c r="P9"/>
      <c r="V9" s="4" t="s">
        <v>735</v>
      </c>
    </row>
  </sheetData>
  <sheetProtection algorithmName="SHA-512" hashValue="igc/vrcPpWB5XrPKjgUWIK24mvsIod5dK3WtfqUWQtGS30T6XR3U0F+k+F2FYnbvDONIG735sbUXuVfH7MNdMA==" saltValue="dkkgjqTBW010nQ/YzbXKGg==" spinCount="100000" sheet="1" objects="1" scenarios="1"/>
  <pageMargins left="0.7" right="0.7" top="0.75" bottom="0.75" header="0.3" footer="0.3"/>
  <pageSetup orientation="portrait" r:id="rId1"/>
  <drawing r:id="rId2"/>
  <extLst>
    <ext xmlns:x14="http://schemas.microsoft.com/office/spreadsheetml/2009/9/main" uri="{A8765BA9-456A-4dab-B4F3-ACF838C121DE}">
      <x14:slicerList>
        <x14:slicer r:id="rId3"/>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 Data</vt:lpstr>
      <vt:lpstr>Final Data</vt:lpstr>
      <vt:lpstr>pivot tables</vt:lpstr>
      <vt:lpstr>Dashboard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PARTH ARORA</dc:creator>
  <cp:lastModifiedBy>PARTH ARORA</cp:lastModifiedBy>
  <dcterms:created xsi:type="dcterms:W3CDTF">2024-10-22T15:24:08Z</dcterms:created>
  <dcterms:modified xsi:type="dcterms:W3CDTF">2024-10-24T13:55:39Z</dcterms:modified>
</cp:coreProperties>
</file>